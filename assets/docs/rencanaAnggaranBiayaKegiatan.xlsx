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ta\Assignment\Fake Document\"/>
    </mc:Choice>
  </mc:AlternateContent>
  <xr:revisionPtr revIDLastSave="0" documentId="13_ncr:1_{BAF13017-AE93-401D-A690-356A47CECFE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3" i="1" l="1"/>
  <c r="G9" i="1"/>
  <c r="G10" i="1"/>
  <c r="G11" i="1"/>
  <c r="G16" i="1"/>
  <c r="G18" i="1"/>
  <c r="G22" i="1"/>
  <c r="G23" i="1"/>
  <c r="G24" i="1"/>
  <c r="G25" i="1"/>
  <c r="G26" i="1"/>
  <c r="G27" i="1"/>
  <c r="G28" i="1"/>
  <c r="G31" i="1"/>
  <c r="G32" i="1"/>
  <c r="G3" i="1"/>
  <c r="G19" i="1"/>
  <c r="G4" i="1"/>
  <c r="G6" i="1"/>
  <c r="G8" i="1"/>
  <c r="G5" i="1"/>
  <c r="G7" i="1"/>
  <c r="G12" i="1"/>
  <c r="G13" i="1"/>
  <c r="G14" i="1"/>
  <c r="G15" i="1"/>
  <c r="G17" i="1"/>
  <c r="G21" i="1"/>
  <c r="G30" i="1"/>
  <c r="G20" i="1"/>
  <c r="G29" i="1"/>
</calcChain>
</file>

<file path=xl/sharedStrings.xml><?xml version="1.0" encoding="utf-8"?>
<sst xmlns="http://schemas.openxmlformats.org/spreadsheetml/2006/main" count="95" uniqueCount="43">
  <si>
    <t>No</t>
  </si>
  <si>
    <t>Barang/Jasa</t>
  </si>
  <si>
    <t>Bidang</t>
  </si>
  <si>
    <t>Harga Satuan</t>
  </si>
  <si>
    <t>Unit</t>
  </si>
  <si>
    <t>Total</t>
  </si>
  <si>
    <t>Banner</t>
  </si>
  <si>
    <t>Tali rafia</t>
  </si>
  <si>
    <t>Lakban hitam</t>
  </si>
  <si>
    <t>Bendera merah putih</t>
  </si>
  <si>
    <t>Kerupuk</t>
  </si>
  <si>
    <t>Karung goni</t>
  </si>
  <si>
    <t>Paku</t>
  </si>
  <si>
    <t>Kecap</t>
  </si>
  <si>
    <t>Benang kasur</t>
  </si>
  <si>
    <t>Bedak</t>
  </si>
  <si>
    <t>Kapur</t>
  </si>
  <si>
    <t>Gelas plastik</t>
  </si>
  <si>
    <t>Konsumsi panitia</t>
  </si>
  <si>
    <t>Air minum</t>
  </si>
  <si>
    <t>BengBeng Share It</t>
  </si>
  <si>
    <t>Siip</t>
  </si>
  <si>
    <t>Chocolatos</t>
  </si>
  <si>
    <t>Waffelo</t>
  </si>
  <si>
    <t>Kiss</t>
  </si>
  <si>
    <t>Yupi</t>
  </si>
  <si>
    <t>Buku tulis</t>
  </si>
  <si>
    <t>Pensil</t>
  </si>
  <si>
    <t>Penghapus</t>
  </si>
  <si>
    <t>Pita koreksi</t>
  </si>
  <si>
    <t>Penggaris busur</t>
  </si>
  <si>
    <t>Pulpen</t>
  </si>
  <si>
    <t>Selotip</t>
  </si>
  <si>
    <t>Kertas kopi</t>
  </si>
  <si>
    <t>Daftar Bidang</t>
  </si>
  <si>
    <t>PDD</t>
  </si>
  <si>
    <t>TekLog</t>
  </si>
  <si>
    <t>PJ Lomba</t>
  </si>
  <si>
    <t>Konsumsi</t>
  </si>
  <si>
    <t>Hadiah</t>
  </si>
  <si>
    <t>Row Labels</t>
  </si>
  <si>
    <t>Sum of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</si>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</sst>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0" fillId="0" borderId="1" xfId="0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7">
    <dxf>
      <numFmt numFmtId="164" formatCode="&quot;Rp&quot;#,##0.00"/>
    </dxf>
    <dxf>
      <numFmt numFmtId="164" formatCode="&quot;Rp&quot;#,##0.0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layout>
            <c:manualLayout>
              <c:x val="2.7777777777777776E-2"/>
              <c:y val="-2.7777777777777821E-2"/>
            </c:manualLayout>
          </c:layout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layout>
            <c:manualLayout>
              <c:x val="-2.7777777777777776E-2"/>
              <c:y val="9.2592592592592587E-3"/>
            </c:manualLayout>
          </c:layout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91A-4B21-9163-36125A3BC7A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91A-4B21-9163-36125A3BC7A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91A-4B21-9163-36125A3BC7A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202-4727-B1F4-C7EAFF4A0BD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B202-4727-B1F4-C7EAFF4A0BD3}"/>
              </c:ext>
            </c:extLst>
          </c:dPt>
          <c:dLbls>
            <c:dLbl>
              <c:idx val="3"/>
              <c:layout>
                <c:manualLayout>
                  <c:x val="-2.7777777777777776E-2"/>
                  <c:y val="9.2592592592592587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202-4727-B1F4-C7EAFF4A0BD3}"/>
                </c:ext>
              </c:extLst>
            </c:dLbl>
            <c:dLbl>
              <c:idx val="4"/>
              <c:layout>
                <c:manualLayout>
                  <c:x val="2.7777777777777776E-2"/>
                  <c:y val="-2.7777777777777821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202-4727-B1F4-C7EAFF4A0BD3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Lit>
              <c:ptCount val="5"/>
              <c:pt idx="0">
                <c:v>Hadiah</c:v>
              </c:pt>
              <c:pt idx="1">
                <c:v>Konsumsi</c:v>
              </c:pt>
              <c:pt idx="2">
                <c:v>PDD</c:v>
              </c:pt>
              <c:pt idx="3">
                <c:v>PJ Lomba</c:v>
              </c:pt>
              <c:pt idx="4">
                <c:v>TekLog</c:v>
              </c:pt>
            </c:strLit>
          </c:cat>
          <c:val>
            <c:numLit>
              <c:formatCode>General</c:formatCode>
              <c:ptCount val="5"/>
              <c:pt idx="0">
                <c:v>1467500</c:v>
              </c:pt>
              <c:pt idx="1">
                <c:v>500000</c:v>
              </c:pt>
              <c:pt idx="2">
                <c:v>422000</c:v>
              </c:pt>
              <c:pt idx="3">
                <c:v>248000</c:v>
              </c:pt>
              <c:pt idx="4">
                <c:v>35000</c:v>
              </c:pt>
            </c:numLit>
          </c:val>
          <c:extLst>
            <c:ext xmlns:c16="http://schemas.microsoft.com/office/drawing/2014/chart" uri="{C3380CC4-5D6E-409C-BE32-E72D297353CC}">
              <c16:uniqueId val="{00000000-B202-4727-B1F4-C7EAFF4A0BD3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layout>
            <c:manualLayout>
              <c:x val="2.7777777777777776E-2"/>
              <c:y val="-2.7777777777777821E-2"/>
            </c:manualLayout>
          </c:layout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layout>
            <c:manualLayout>
              <c:x val="-2.7777777777777776E-2"/>
              <c:y val="9.2592592592592587E-3"/>
            </c:manualLayout>
          </c:layout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91A-4B21-9163-36125A3BC7A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91A-4B21-9163-36125A3BC7A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91A-4B21-9163-36125A3BC7A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202-4727-B1F4-C7EAFF4A0BD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B202-4727-B1F4-C7EAFF4A0BD3}"/>
              </c:ext>
            </c:extLst>
          </c:dPt>
          <c:dLbls>
            <c:dLbl>
              <c:idx val="3"/>
              <c:layout>
                <c:manualLayout>
                  <c:x val="-2.7777777777777776E-2"/>
                  <c:y val="9.2592592592592587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202-4727-B1F4-C7EAFF4A0BD3}"/>
                </c:ext>
              </c:extLst>
            </c:dLbl>
            <c:dLbl>
              <c:idx val="4"/>
              <c:layout>
                <c:manualLayout>
                  <c:x val="2.7777777777777776E-2"/>
                  <c:y val="-2.7777777777777821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202-4727-B1F4-C7EAFF4A0BD3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Lit>
              <c:ptCount val="5"/>
              <c:pt idx="0">
                <c:v>Hadiah</c:v>
              </c:pt>
              <c:pt idx="1">
                <c:v>Konsumsi</c:v>
              </c:pt>
              <c:pt idx="2">
                <c:v>PDD</c:v>
              </c:pt>
              <c:pt idx="3">
                <c:v>PJ Lomba</c:v>
              </c:pt>
              <c:pt idx="4">
                <c:v>TekLog</c:v>
              </c:pt>
            </c:strLit>
          </c:cat>
          <c:val>
            <c:numLit>
              <c:formatCode>General</c:formatCode>
              <c:ptCount val="5"/>
              <c:pt idx="0">
                <c:v>1467500</c:v>
              </c:pt>
              <c:pt idx="1">
                <c:v>500000</c:v>
              </c:pt>
              <c:pt idx="2">
                <c:v>422000</c:v>
              </c:pt>
              <c:pt idx="3">
                <c:v>248000</c:v>
              </c:pt>
              <c:pt idx="4">
                <c:v>35000</c:v>
              </c:pt>
            </c:numLit>
          </c:val>
          <c:extLst>
            <c:ext xmlns:c16="http://schemas.microsoft.com/office/drawing/2014/chart" uri="{C3380CC4-5D6E-409C-BE32-E72D297353CC}">
              <c16:uniqueId val="{00000000-B202-4727-B1F4-C7EAFF4A0BD3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12934</xdr:colOff>
      <xdr:row>0</xdr:row>
      <xdr:rowOff>0</xdr:rowOff>
    </xdr:from>
    <xdr:to>
      <xdr:col>18</xdr:col>
      <xdr:colOff>315898</xdr:colOff>
      <xdr:row>14</xdr:row>
      <xdr:rowOff>162379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54A492-94EC-E005-A0A7-1C3A2D8877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326698</xdr:colOff>
      <xdr:row>0</xdr:row>
      <xdr:rowOff>0</xdr:rowOff>
    </xdr:from>
    <xdr:to>
      <xdr:col>19</xdr:col>
      <xdr:colOff>311415</xdr:colOff>
      <xdr:row>14</xdr:row>
      <xdr:rowOff>162379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072E62-8C78-5D8B-A9A0-B939F5851C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san Putra" refreshedDate="46154.725492824073" createdVersion="8" refreshedVersion="8" minRefreshableVersion="3" recordCount="30" xr:uid="{CEC894E1-CF08-4599-899A-F40FA29433CD}">
  <cacheSource type="worksheet">
    <worksheetSource name="Table1[[Barang/Jasa]:[Total]]"/>
  </cacheSource>
  <cacheFields count="5">
    <cacheField name="Barang/Jasa" numFmtId="0">
      <sharedItems count="28">
        <s v="Air minum"/>
        <s v="Banner"/>
        <s v="Bedak"/>
        <s v="Benang kasur"/>
        <s v="Bendera merah putih"/>
        <s v="BengBeng Share It"/>
        <s v="Buku tulis"/>
        <s v="Chocolatos"/>
        <s v="Gelas plastik"/>
        <s v="Kapur"/>
        <s v="Karung goni"/>
        <s v="Kecap"/>
        <s v="Kertas kopi"/>
        <s v="Kerupuk"/>
        <s v="Kiss"/>
        <s v="Konsumsi panitia"/>
        <s v="Lakban hitam"/>
        <s v="Paku"/>
        <s v="Penggaris busur"/>
        <s v="Penghapus"/>
        <s v="Pensil"/>
        <s v="Pita koreksi"/>
        <s v="Pulpen"/>
        <s v="Selotip"/>
        <s v="Siip"/>
        <s v="Tali rafia"/>
        <s v="Waffelo"/>
        <s v="Yupi"/>
      </sharedItems>
    </cacheField>
    <cacheField name="Bidang" numFmtId="0">
      <sharedItems count="5">
        <s v="Konsumsi"/>
        <s v="PDD"/>
        <s v="PJ Lomba"/>
        <s v="Hadiah"/>
        <s v="TekLog"/>
      </sharedItems>
    </cacheField>
    <cacheField name="Unit" numFmtId="0">
      <sharedItems containsSemiMixedTypes="0" containsString="0" containsNumber="1" containsInteger="1" minValue="1" maxValue="46" count="11">
        <n v="2"/>
        <n v="5"/>
        <n v="7"/>
        <n v="1"/>
        <n v="26"/>
        <n v="3"/>
        <n v="40"/>
        <n v="46"/>
        <n v="10"/>
        <n v="8"/>
        <n v="36"/>
      </sharedItems>
    </cacheField>
    <cacheField name="Harga Satuan" numFmtId="164">
      <sharedItems containsSemiMixedTypes="0" containsString="0" containsNumber="1" containsInteger="1" minValue="1500" maxValue="180000"/>
    </cacheField>
    <cacheField name="Total" numFmtId="164">
      <sharedItems containsSemiMixedTypes="0" containsString="0" containsNumber="1" containsInteger="1" minValue="4000" maxValue="540000" count="25">
        <n v="40000"/>
        <n v="360000"/>
        <n v="55000"/>
        <n v="12000"/>
        <n v="50000"/>
        <n v="133000"/>
        <n v="32000"/>
        <n v="338000"/>
        <n v="30000"/>
        <n v="9000"/>
        <n v="18000"/>
        <n v="200000"/>
        <n v="60000"/>
        <n v="26000"/>
        <n v="460000"/>
        <n v="15000"/>
        <n v="10000"/>
        <n v="4000"/>
        <n v="7500"/>
        <n v="20000"/>
        <n v="36000"/>
        <n v="540000"/>
        <n v="14000"/>
        <n v="65000"/>
        <n v="45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x v="0"/>
    <n v="20000"/>
    <x v="0"/>
  </r>
  <r>
    <x v="1"/>
    <x v="1"/>
    <x v="0"/>
    <n v="180000"/>
    <x v="1"/>
  </r>
  <r>
    <x v="2"/>
    <x v="2"/>
    <x v="1"/>
    <n v="11000"/>
    <x v="2"/>
  </r>
  <r>
    <x v="3"/>
    <x v="1"/>
    <x v="0"/>
    <n v="6000"/>
    <x v="3"/>
  </r>
  <r>
    <x v="3"/>
    <x v="2"/>
    <x v="0"/>
    <n v="6000"/>
    <x v="3"/>
  </r>
  <r>
    <x v="4"/>
    <x v="1"/>
    <x v="1"/>
    <n v="10000"/>
    <x v="4"/>
  </r>
  <r>
    <x v="5"/>
    <x v="3"/>
    <x v="2"/>
    <n v="19000"/>
    <x v="5"/>
  </r>
  <r>
    <x v="6"/>
    <x v="3"/>
    <x v="3"/>
    <n v="32000"/>
    <x v="6"/>
  </r>
  <r>
    <x v="7"/>
    <x v="3"/>
    <x v="4"/>
    <n v="13000"/>
    <x v="7"/>
  </r>
  <r>
    <x v="8"/>
    <x v="2"/>
    <x v="0"/>
    <n v="15000"/>
    <x v="8"/>
  </r>
  <r>
    <x v="9"/>
    <x v="2"/>
    <x v="5"/>
    <n v="3000"/>
    <x v="9"/>
  </r>
  <r>
    <x v="10"/>
    <x v="2"/>
    <x v="1"/>
    <n v="8000"/>
    <x v="0"/>
  </r>
  <r>
    <x v="11"/>
    <x v="2"/>
    <x v="3"/>
    <n v="18000"/>
    <x v="10"/>
  </r>
  <r>
    <x v="12"/>
    <x v="3"/>
    <x v="6"/>
    <n v="5000"/>
    <x v="11"/>
  </r>
  <r>
    <x v="13"/>
    <x v="2"/>
    <x v="5"/>
    <n v="20000"/>
    <x v="12"/>
  </r>
  <r>
    <x v="14"/>
    <x v="3"/>
    <x v="0"/>
    <n v="13000"/>
    <x v="13"/>
  </r>
  <r>
    <x v="15"/>
    <x v="0"/>
    <x v="7"/>
    <n v="10000"/>
    <x v="14"/>
  </r>
  <r>
    <x v="16"/>
    <x v="4"/>
    <x v="3"/>
    <n v="15000"/>
    <x v="15"/>
  </r>
  <r>
    <x v="17"/>
    <x v="2"/>
    <x v="3"/>
    <n v="10000"/>
    <x v="16"/>
  </r>
  <r>
    <x v="18"/>
    <x v="3"/>
    <x v="3"/>
    <n v="4000"/>
    <x v="17"/>
  </r>
  <r>
    <x v="19"/>
    <x v="3"/>
    <x v="1"/>
    <n v="1500"/>
    <x v="18"/>
  </r>
  <r>
    <x v="20"/>
    <x v="3"/>
    <x v="8"/>
    <n v="2000"/>
    <x v="19"/>
  </r>
  <r>
    <x v="21"/>
    <x v="3"/>
    <x v="0"/>
    <n v="6000"/>
    <x v="3"/>
  </r>
  <r>
    <x v="22"/>
    <x v="3"/>
    <x v="9"/>
    <n v="4500"/>
    <x v="20"/>
  </r>
  <r>
    <x v="23"/>
    <x v="3"/>
    <x v="0"/>
    <n v="4500"/>
    <x v="9"/>
  </r>
  <r>
    <x v="24"/>
    <x v="3"/>
    <x v="10"/>
    <n v="15000"/>
    <x v="21"/>
  </r>
  <r>
    <x v="25"/>
    <x v="4"/>
    <x v="3"/>
    <n v="20000"/>
    <x v="19"/>
  </r>
  <r>
    <x v="25"/>
    <x v="2"/>
    <x v="0"/>
    <n v="7000"/>
    <x v="22"/>
  </r>
  <r>
    <x v="26"/>
    <x v="3"/>
    <x v="1"/>
    <n v="13000"/>
    <x v="23"/>
  </r>
  <r>
    <x v="27"/>
    <x v="3"/>
    <x v="5"/>
    <n v="15000"/>
    <x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32CB91-0612-4136-B67B-CA9B531AEAD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K2:L22" firstHeaderRow="1" firstDataRow="1" firstDataCol="1"/>
  <pivotFields count="5">
    <pivotField axis="axisRow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axis="axisRow" showAll="0">
      <items count="6">
        <item sd="0" x="3"/>
        <item x="0"/>
        <item x="1"/>
        <item x="2"/>
        <item sd="0" x="4"/>
        <item t="default" sd="0"/>
      </items>
    </pivotField>
    <pivotField showAll="0"/>
    <pivotField numFmtId="164" showAll="0"/>
    <pivotField dataField="1" numFmtId="164" showAll="0">
      <items count="26">
        <item x="17"/>
        <item x="18"/>
        <item x="9"/>
        <item x="16"/>
        <item x="3"/>
        <item x="22"/>
        <item x="15"/>
        <item x="10"/>
        <item x="19"/>
        <item x="13"/>
        <item x="8"/>
        <item x="6"/>
        <item x="20"/>
        <item x="0"/>
        <item x="24"/>
        <item x="4"/>
        <item x="2"/>
        <item x="12"/>
        <item x="23"/>
        <item x="5"/>
        <item x="11"/>
        <item x="7"/>
        <item x="1"/>
        <item x="14"/>
        <item x="21"/>
        <item t="default"/>
      </items>
    </pivotField>
  </pivotFields>
  <rowFields count="2">
    <field x="1"/>
    <field x="0"/>
  </rowFields>
  <rowItems count="20">
    <i>
      <x/>
    </i>
    <i>
      <x v="1"/>
    </i>
    <i r="1">
      <x/>
    </i>
    <i r="1">
      <x v="15"/>
    </i>
    <i>
      <x v="2"/>
    </i>
    <i r="1">
      <x v="1"/>
    </i>
    <i r="1">
      <x v="3"/>
    </i>
    <i r="1">
      <x v="4"/>
    </i>
    <i>
      <x v="3"/>
    </i>
    <i r="1">
      <x v="2"/>
    </i>
    <i r="1">
      <x v="3"/>
    </i>
    <i r="1">
      <x v="8"/>
    </i>
    <i r="1">
      <x v="9"/>
    </i>
    <i r="1">
      <x v="10"/>
    </i>
    <i r="1">
      <x v="11"/>
    </i>
    <i r="1">
      <x v="13"/>
    </i>
    <i r="1">
      <x v="17"/>
    </i>
    <i r="1">
      <x v="25"/>
    </i>
    <i>
      <x v="4"/>
    </i>
    <i t="grand">
      <x/>
    </i>
  </rowItems>
  <colItems count="1">
    <i/>
  </colItems>
  <dataFields count="1">
    <dataField name="Sum of Total" fld="4" baseField="0" baseItem="0" numFmtId="16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CF7C5B-1E91-4056-87FB-E07C039B287C}" name="Table1" displayName="Table1" ref="B2:G33" totalsRowCount="1" headerRowDxfId="6">
  <autoFilter ref="B2:G32" xr:uid="{5FCF7C5B-1E91-4056-87FB-E07C039B287C}"/>
  <sortState xmlns:xlrd2="http://schemas.microsoft.com/office/spreadsheetml/2017/richdata2" ref="B3:G32">
    <sortCondition ref="B2:B32"/>
  </sortState>
  <tableColumns count="6">
    <tableColumn id="1" xr3:uid="{7B17A3BB-F198-46A1-83DF-BD58F4132CC3}" name="No" totalsRowLabel="Total" dataDxfId="5" totalsRowDxfId="4"/>
    <tableColumn id="2" xr3:uid="{F82BB35C-11C5-4700-BABA-6B7E791ED205}" name="Barang/Jasa"/>
    <tableColumn id="3" xr3:uid="{C1B64E34-6A3C-446C-B064-854C8463581C}" name="Bidang"/>
    <tableColumn id="4" xr3:uid="{058BB639-6152-41A6-B8B8-4FAAF95ED1F5}" name="Unit" dataDxfId="3" totalsRowDxfId="2"/>
    <tableColumn id="5" xr3:uid="{8B30C417-EFDD-45F3-9D91-ABCB018F8D37}" name="Harga Satuan" dataDxfId="1"/>
    <tableColumn id="6" xr3:uid="{45D7777C-7AD0-48DA-BEAC-5341B839EF1D}" name="Total" totalsRowFunction="sum" dataDxfId="0">
      <calculatedColumnFormula>Table1[[#This Row],[Unit]]*Table1[[#This Row],[Harga Satuan]]</calculatedColumnFormula>
    </tableColumn>
  </tableColumns>
  <tableStyleInfo name="TableStyleMedium2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L33"/>
  <sheetViews>
    <sheetView tabSelected="1" topLeftCell="F1" zoomScale="85" zoomScaleNormal="85" workbookViewId="0">
      <selection activeCell="J11" sqref="J11"/>
    </sheetView>
  </sheetViews>
  <sheetFormatPr defaultRowHeight="14.5" x14ac:dyDescent="0.35"/>
  <cols>
    <col min="2" max="2" width="7.7265625" bestFit="1" customWidth="1"/>
    <col min="3" max="3" width="18.7265625" bestFit="1" customWidth="1"/>
    <col min="6" max="6" width="14" customWidth="1"/>
    <col min="7" max="7" width="14.54296875" bestFit="1" customWidth="1"/>
    <col min="9" max="9" width="12.36328125" bestFit="1" customWidth="1"/>
    <col min="10" max="10" width="13.7265625" bestFit="1" customWidth="1"/>
    <col min="11" max="11" width="22.54296875" bestFit="1" customWidth="1"/>
    <col min="12" max="12" width="14.54296875" bestFit="1" customWidth="1"/>
    <col min="13" max="13" width="11.90625" customWidth="1"/>
    <col min="14" max="14" width="13.7265625" bestFit="1" customWidth="1"/>
    <col min="15" max="15" width="12.08984375" bestFit="1" customWidth="1"/>
    <col min="16" max="16" width="13.7265625" bestFit="1" customWidth="1"/>
    <col min="17" max="17" width="12.08984375" bestFit="1" customWidth="1"/>
    <col min="18" max="18" width="11.08984375" bestFit="1" customWidth="1"/>
    <col min="19" max="19" width="3.08984375" customWidth="1"/>
    <col min="20" max="20" width="13.7265625" bestFit="1" customWidth="1"/>
    <col min="21" max="33" width="11.08984375" bestFit="1" customWidth="1"/>
    <col min="34" max="39" width="12.08984375" bestFit="1" customWidth="1"/>
    <col min="40" max="40" width="13.7265625" bestFit="1" customWidth="1"/>
  </cols>
  <sheetData>
    <row r="2" spans="2:12" x14ac:dyDescent="0.35">
      <c r="B2" s="2" t="s">
        <v>0</v>
      </c>
      <c r="C2" s="2" t="s">
        <v>1</v>
      </c>
      <c r="D2" s="2" t="s">
        <v>2</v>
      </c>
      <c r="E2" s="2" t="s">
        <v>4</v>
      </c>
      <c r="F2" s="2" t="s">
        <v>3</v>
      </c>
      <c r="G2" s="2" t="s">
        <v>5</v>
      </c>
      <c r="I2" s="3" t="s">
        <v>34</v>
      </c>
      <c r="K2" s="7" t="s">
        <v>40</v>
      </c>
      <c r="L2" t="s">
        <v>41</v>
      </c>
    </row>
    <row r="3" spans="2:12" x14ac:dyDescent="0.35">
      <c r="B3" s="1">
        <v>1</v>
      </c>
      <c r="C3" t="s">
        <v>19</v>
      </c>
      <c r="D3" t="s">
        <v>38</v>
      </c>
      <c r="E3" s="6">
        <v>2</v>
      </c>
      <c r="F3" s="5">
        <v>20000</v>
      </c>
      <c r="G3" s="5">
        <f>Table1[[#This Row],[Unit]]*Table1[[#This Row],[Harga Satuan]]</f>
        <v>40000</v>
      </c>
      <c r="I3" s="4" t="s">
        <v>35</v>
      </c>
      <c r="K3" s="8" t="s">
        <v>39</v>
      </c>
      <c r="L3" s="5">
        <v>1467500</v>
      </c>
    </row>
    <row r="4" spans="2:12" x14ac:dyDescent="0.35">
      <c r="B4" s="1">
        <v>2</v>
      </c>
      <c r="C4" t="s">
        <v>6</v>
      </c>
      <c r="D4" t="s">
        <v>35</v>
      </c>
      <c r="E4" s="6">
        <v>2</v>
      </c>
      <c r="F4" s="5">
        <v>180000</v>
      </c>
      <c r="G4" s="5">
        <f>Table1[[#This Row],[Unit]]*Table1[[#This Row],[Harga Satuan]]</f>
        <v>360000</v>
      </c>
      <c r="I4" s="4" t="s">
        <v>36</v>
      </c>
      <c r="K4" s="8" t="s">
        <v>38</v>
      </c>
      <c r="L4" s="5">
        <v>500000</v>
      </c>
    </row>
    <row r="5" spans="2:12" x14ac:dyDescent="0.35">
      <c r="B5" s="1">
        <v>3</v>
      </c>
      <c r="C5" t="s">
        <v>15</v>
      </c>
      <c r="D5" t="s">
        <v>37</v>
      </c>
      <c r="E5" s="6">
        <v>5</v>
      </c>
      <c r="F5" s="5">
        <v>11000</v>
      </c>
      <c r="G5" s="5">
        <f>Table1[[#This Row],[Unit]]*Table1[[#This Row],[Harga Satuan]]</f>
        <v>55000</v>
      </c>
      <c r="I5" s="4" t="s">
        <v>37</v>
      </c>
      <c r="K5" s="9" t="s">
        <v>19</v>
      </c>
      <c r="L5" s="5">
        <v>40000</v>
      </c>
    </row>
    <row r="6" spans="2:12" x14ac:dyDescent="0.35">
      <c r="B6" s="1">
        <v>4</v>
      </c>
      <c r="C6" t="s">
        <v>14</v>
      </c>
      <c r="D6" t="s">
        <v>35</v>
      </c>
      <c r="E6" s="6">
        <v>2</v>
      </c>
      <c r="F6" s="5">
        <v>6000</v>
      </c>
      <c r="G6" s="5">
        <f>Table1[[#This Row],[Unit]]*Table1[[#This Row],[Harga Satuan]]</f>
        <v>12000</v>
      </c>
      <c r="I6" s="4" t="s">
        <v>38</v>
      </c>
      <c r="K6" s="9" t="s">
        <v>18</v>
      </c>
      <c r="L6" s="5">
        <v>460000</v>
      </c>
    </row>
    <row r="7" spans="2:12" x14ac:dyDescent="0.35">
      <c r="B7" s="1">
        <v>5</v>
      </c>
      <c r="C7" t="s">
        <v>14</v>
      </c>
      <c r="D7" t="s">
        <v>37</v>
      </c>
      <c r="E7" s="6">
        <v>2</v>
      </c>
      <c r="F7" s="5">
        <v>6000</v>
      </c>
      <c r="G7" s="5">
        <f>Table1[[#This Row],[Unit]]*Table1[[#This Row],[Harga Satuan]]</f>
        <v>12000</v>
      </c>
      <c r="I7" s="4" t="s">
        <v>39</v>
      </c>
      <c r="K7" s="8" t="s">
        <v>35</v>
      </c>
      <c r="L7" s="5">
        <v>422000</v>
      </c>
    </row>
    <row r="8" spans="2:12" x14ac:dyDescent="0.35">
      <c r="B8" s="1">
        <v>6</v>
      </c>
      <c r="C8" t="s">
        <v>9</v>
      </c>
      <c r="D8" t="s">
        <v>35</v>
      </c>
      <c r="E8" s="6">
        <v>5</v>
      </c>
      <c r="F8" s="5">
        <v>10000</v>
      </c>
      <c r="G8" s="5">
        <f>Table1[[#This Row],[Unit]]*Table1[[#This Row],[Harga Satuan]]</f>
        <v>50000</v>
      </c>
      <c r="K8" s="9" t="s">
        <v>6</v>
      </c>
      <c r="L8" s="5">
        <v>360000</v>
      </c>
    </row>
    <row r="9" spans="2:12" x14ac:dyDescent="0.35">
      <c r="B9" s="1">
        <v>7</v>
      </c>
      <c r="C9" t="s">
        <v>20</v>
      </c>
      <c r="D9" t="s">
        <v>39</v>
      </c>
      <c r="E9" s="6">
        <v>7</v>
      </c>
      <c r="F9" s="5">
        <v>19000</v>
      </c>
      <c r="G9" s="5">
        <f>Table1[[#This Row],[Unit]]*Table1[[#This Row],[Harga Satuan]]</f>
        <v>133000</v>
      </c>
      <c r="K9" s="9" t="s">
        <v>14</v>
      </c>
      <c r="L9" s="5">
        <v>12000</v>
      </c>
    </row>
    <row r="10" spans="2:12" x14ac:dyDescent="0.35">
      <c r="B10" s="1">
        <v>8</v>
      </c>
      <c r="C10" t="s">
        <v>26</v>
      </c>
      <c r="D10" t="s">
        <v>39</v>
      </c>
      <c r="E10" s="6">
        <v>1</v>
      </c>
      <c r="F10" s="5">
        <v>32000</v>
      </c>
      <c r="G10" s="5">
        <f>Table1[[#This Row],[Unit]]*Table1[[#This Row],[Harga Satuan]]</f>
        <v>32000</v>
      </c>
      <c r="K10" s="9" t="s">
        <v>9</v>
      </c>
      <c r="L10" s="5">
        <v>50000</v>
      </c>
    </row>
    <row r="11" spans="2:12" x14ac:dyDescent="0.35">
      <c r="B11" s="1">
        <v>9</v>
      </c>
      <c r="C11" t="s">
        <v>22</v>
      </c>
      <c r="D11" t="s">
        <v>39</v>
      </c>
      <c r="E11" s="6">
        <v>26</v>
      </c>
      <c r="F11" s="5">
        <v>13000</v>
      </c>
      <c r="G11" s="5">
        <f>Table1[[#This Row],[Unit]]*Table1[[#This Row],[Harga Satuan]]</f>
        <v>338000</v>
      </c>
      <c r="K11" s="8" t="s">
        <v>37</v>
      </c>
      <c r="L11" s="5">
        <v>248000</v>
      </c>
    </row>
    <row r="12" spans="2:12" x14ac:dyDescent="0.35">
      <c r="B12" s="1">
        <v>10</v>
      </c>
      <c r="C12" t="s">
        <v>17</v>
      </c>
      <c r="D12" t="s">
        <v>37</v>
      </c>
      <c r="E12" s="6">
        <v>2</v>
      </c>
      <c r="F12" s="5">
        <v>15000</v>
      </c>
      <c r="G12" s="5">
        <f>Table1[[#This Row],[Unit]]*Table1[[#This Row],[Harga Satuan]]</f>
        <v>30000</v>
      </c>
      <c r="K12" s="9" t="s">
        <v>15</v>
      </c>
      <c r="L12" s="5">
        <v>55000</v>
      </c>
    </row>
    <row r="13" spans="2:12" x14ac:dyDescent="0.35">
      <c r="B13" s="1">
        <v>11</v>
      </c>
      <c r="C13" t="s">
        <v>16</v>
      </c>
      <c r="D13" t="s">
        <v>37</v>
      </c>
      <c r="E13" s="6">
        <v>3</v>
      </c>
      <c r="F13" s="5">
        <v>3000</v>
      </c>
      <c r="G13" s="5">
        <f>Table1[[#This Row],[Unit]]*Table1[[#This Row],[Harga Satuan]]</f>
        <v>9000</v>
      </c>
      <c r="K13" s="9" t="s">
        <v>14</v>
      </c>
      <c r="L13" s="5">
        <v>12000</v>
      </c>
    </row>
    <row r="14" spans="2:12" x14ac:dyDescent="0.35">
      <c r="B14" s="1">
        <v>12</v>
      </c>
      <c r="C14" t="s">
        <v>11</v>
      </c>
      <c r="D14" t="s">
        <v>37</v>
      </c>
      <c r="E14" s="6">
        <v>5</v>
      </c>
      <c r="F14" s="5">
        <v>8000</v>
      </c>
      <c r="G14" s="5">
        <f>Table1[[#This Row],[Unit]]*Table1[[#This Row],[Harga Satuan]]</f>
        <v>40000</v>
      </c>
      <c r="K14" s="9" t="s">
        <v>17</v>
      </c>
      <c r="L14" s="5">
        <v>30000</v>
      </c>
    </row>
    <row r="15" spans="2:12" x14ac:dyDescent="0.35">
      <c r="B15" s="1">
        <v>13</v>
      </c>
      <c r="C15" t="s">
        <v>13</v>
      </c>
      <c r="D15" t="s">
        <v>37</v>
      </c>
      <c r="E15" s="6">
        <v>1</v>
      </c>
      <c r="F15" s="5">
        <v>18000</v>
      </c>
      <c r="G15" s="5">
        <f>Table1[[#This Row],[Unit]]*Table1[[#This Row],[Harga Satuan]]</f>
        <v>18000</v>
      </c>
      <c r="K15" s="9" t="s">
        <v>16</v>
      </c>
      <c r="L15" s="5">
        <v>9000</v>
      </c>
    </row>
    <row r="16" spans="2:12" x14ac:dyDescent="0.35">
      <c r="B16" s="1">
        <v>14</v>
      </c>
      <c r="C16" t="s">
        <v>33</v>
      </c>
      <c r="D16" t="s">
        <v>39</v>
      </c>
      <c r="E16" s="6">
        <v>40</v>
      </c>
      <c r="F16" s="5">
        <v>5000</v>
      </c>
      <c r="G16" s="5">
        <f>Table1[[#This Row],[Unit]]*Table1[[#This Row],[Harga Satuan]]</f>
        <v>200000</v>
      </c>
      <c r="K16" s="9" t="s">
        <v>11</v>
      </c>
      <c r="L16" s="5">
        <v>40000</v>
      </c>
    </row>
    <row r="17" spans="2:12" x14ac:dyDescent="0.35">
      <c r="B17" s="1">
        <v>15</v>
      </c>
      <c r="C17" t="s">
        <v>10</v>
      </c>
      <c r="D17" t="s">
        <v>37</v>
      </c>
      <c r="E17" s="6">
        <v>3</v>
      </c>
      <c r="F17" s="5">
        <v>20000</v>
      </c>
      <c r="G17" s="5">
        <f>Table1[[#This Row],[Unit]]*Table1[[#This Row],[Harga Satuan]]</f>
        <v>60000</v>
      </c>
      <c r="K17" s="9" t="s">
        <v>13</v>
      </c>
      <c r="L17" s="5">
        <v>18000</v>
      </c>
    </row>
    <row r="18" spans="2:12" x14ac:dyDescent="0.35">
      <c r="B18" s="1">
        <v>16</v>
      </c>
      <c r="C18" t="s">
        <v>24</v>
      </c>
      <c r="D18" t="s">
        <v>39</v>
      </c>
      <c r="E18" s="6">
        <v>2</v>
      </c>
      <c r="F18" s="5">
        <v>13000</v>
      </c>
      <c r="G18" s="5">
        <f>Table1[[#This Row],[Unit]]*Table1[[#This Row],[Harga Satuan]]</f>
        <v>26000</v>
      </c>
      <c r="K18" s="9" t="s">
        <v>10</v>
      </c>
      <c r="L18" s="5">
        <v>60000</v>
      </c>
    </row>
    <row r="19" spans="2:12" x14ac:dyDescent="0.35">
      <c r="B19" s="1">
        <v>17</v>
      </c>
      <c r="C19" t="s">
        <v>18</v>
      </c>
      <c r="D19" t="s">
        <v>38</v>
      </c>
      <c r="E19" s="6">
        <v>46</v>
      </c>
      <c r="F19" s="5">
        <v>10000</v>
      </c>
      <c r="G19" s="5">
        <f>Table1[[#This Row],[Unit]]*Table1[[#This Row],[Harga Satuan]]</f>
        <v>460000</v>
      </c>
      <c r="K19" s="9" t="s">
        <v>12</v>
      </c>
      <c r="L19" s="5">
        <v>10000</v>
      </c>
    </row>
    <row r="20" spans="2:12" x14ac:dyDescent="0.35">
      <c r="B20" s="1">
        <v>18</v>
      </c>
      <c r="C20" t="s">
        <v>8</v>
      </c>
      <c r="D20" t="s">
        <v>36</v>
      </c>
      <c r="E20" s="6">
        <v>1</v>
      </c>
      <c r="F20" s="5">
        <v>15000</v>
      </c>
      <c r="G20" s="5">
        <f>Table1[[#This Row],[Unit]]*Table1[[#This Row],[Harga Satuan]]</f>
        <v>15000</v>
      </c>
      <c r="K20" s="9" t="s">
        <v>7</v>
      </c>
      <c r="L20" s="5">
        <v>14000</v>
      </c>
    </row>
    <row r="21" spans="2:12" x14ac:dyDescent="0.35">
      <c r="B21" s="1">
        <v>19</v>
      </c>
      <c r="C21" t="s">
        <v>12</v>
      </c>
      <c r="D21" t="s">
        <v>37</v>
      </c>
      <c r="E21" s="6">
        <v>1</v>
      </c>
      <c r="F21" s="5">
        <v>10000</v>
      </c>
      <c r="G21" s="5">
        <f>Table1[[#This Row],[Unit]]*Table1[[#This Row],[Harga Satuan]]</f>
        <v>10000</v>
      </c>
      <c r="K21" s="8" t="s">
        <v>36</v>
      </c>
      <c r="L21" s="5">
        <v>35000</v>
      </c>
    </row>
    <row r="22" spans="2:12" x14ac:dyDescent="0.35">
      <c r="B22" s="1">
        <v>20</v>
      </c>
      <c r="C22" t="s">
        <v>30</v>
      </c>
      <c r="D22" t="s">
        <v>39</v>
      </c>
      <c r="E22" s="6">
        <v>1</v>
      </c>
      <c r="F22" s="5">
        <v>4000</v>
      </c>
      <c r="G22" s="5">
        <f>Table1[[#This Row],[Unit]]*Table1[[#This Row],[Harga Satuan]]</f>
        <v>4000</v>
      </c>
      <c r="K22" s="8" t="s">
        <v>42</v>
      </c>
      <c r="L22" s="5">
        <v>2672500</v>
      </c>
    </row>
    <row r="23" spans="2:12" x14ac:dyDescent="0.35">
      <c r="B23" s="1">
        <v>21</v>
      </c>
      <c r="C23" t="s">
        <v>28</v>
      </c>
      <c r="D23" t="s">
        <v>39</v>
      </c>
      <c r="E23" s="6">
        <v>5</v>
      </c>
      <c r="F23" s="5">
        <v>1500</v>
      </c>
      <c r="G23" s="5">
        <f>Table1[[#This Row],[Unit]]*Table1[[#This Row],[Harga Satuan]]</f>
        <v>7500</v>
      </c>
    </row>
    <row r="24" spans="2:12" x14ac:dyDescent="0.35">
      <c r="B24" s="1">
        <v>22</v>
      </c>
      <c r="C24" t="s">
        <v>27</v>
      </c>
      <c r="D24" t="s">
        <v>39</v>
      </c>
      <c r="E24" s="6">
        <v>10</v>
      </c>
      <c r="F24" s="5">
        <v>2000</v>
      </c>
      <c r="G24" s="5">
        <f>Table1[[#This Row],[Unit]]*Table1[[#This Row],[Harga Satuan]]</f>
        <v>20000</v>
      </c>
    </row>
    <row r="25" spans="2:12" x14ac:dyDescent="0.35">
      <c r="B25" s="1">
        <v>23</v>
      </c>
      <c r="C25" t="s">
        <v>29</v>
      </c>
      <c r="D25" t="s">
        <v>39</v>
      </c>
      <c r="E25" s="6">
        <v>2</v>
      </c>
      <c r="F25" s="5">
        <v>6000</v>
      </c>
      <c r="G25" s="5">
        <f>Table1[[#This Row],[Unit]]*Table1[[#This Row],[Harga Satuan]]</f>
        <v>12000</v>
      </c>
    </row>
    <row r="26" spans="2:12" x14ac:dyDescent="0.35">
      <c r="B26" s="1">
        <v>24</v>
      </c>
      <c r="C26" t="s">
        <v>31</v>
      </c>
      <c r="D26" t="s">
        <v>39</v>
      </c>
      <c r="E26" s="6">
        <v>8</v>
      </c>
      <c r="F26" s="5">
        <v>4500</v>
      </c>
      <c r="G26" s="5">
        <f>Table1[[#This Row],[Unit]]*Table1[[#This Row],[Harga Satuan]]</f>
        <v>36000</v>
      </c>
    </row>
    <row r="27" spans="2:12" x14ac:dyDescent="0.35">
      <c r="B27" s="1">
        <v>25</v>
      </c>
      <c r="C27" t="s">
        <v>32</v>
      </c>
      <c r="D27" t="s">
        <v>39</v>
      </c>
      <c r="E27" s="6">
        <v>2</v>
      </c>
      <c r="F27" s="5">
        <v>4500</v>
      </c>
      <c r="G27" s="5">
        <f>Table1[[#This Row],[Unit]]*Table1[[#This Row],[Harga Satuan]]</f>
        <v>9000</v>
      </c>
    </row>
    <row r="28" spans="2:12" x14ac:dyDescent="0.35">
      <c r="B28" s="1">
        <v>26</v>
      </c>
      <c r="C28" t="s">
        <v>21</v>
      </c>
      <c r="D28" t="s">
        <v>39</v>
      </c>
      <c r="E28" s="6">
        <v>36</v>
      </c>
      <c r="F28" s="5">
        <v>15000</v>
      </c>
      <c r="G28" s="5">
        <f>Table1[[#This Row],[Unit]]*Table1[[#This Row],[Harga Satuan]]</f>
        <v>540000</v>
      </c>
    </row>
    <row r="29" spans="2:12" x14ac:dyDescent="0.35">
      <c r="B29" s="1">
        <v>27</v>
      </c>
      <c r="C29" t="s">
        <v>7</v>
      </c>
      <c r="D29" t="s">
        <v>36</v>
      </c>
      <c r="E29" s="6">
        <v>1</v>
      </c>
      <c r="F29" s="5">
        <v>20000</v>
      </c>
      <c r="G29" s="5">
        <f>Table1[[#This Row],[Unit]]*Table1[[#This Row],[Harga Satuan]]</f>
        <v>20000</v>
      </c>
    </row>
    <row r="30" spans="2:12" x14ac:dyDescent="0.35">
      <c r="B30" s="1">
        <v>28</v>
      </c>
      <c r="C30" t="s">
        <v>7</v>
      </c>
      <c r="D30" t="s">
        <v>37</v>
      </c>
      <c r="E30" s="6">
        <v>2</v>
      </c>
      <c r="F30" s="5">
        <v>7000</v>
      </c>
      <c r="G30" s="5">
        <f>Table1[[#This Row],[Unit]]*Table1[[#This Row],[Harga Satuan]]</f>
        <v>14000</v>
      </c>
    </row>
    <row r="31" spans="2:12" x14ac:dyDescent="0.35">
      <c r="B31" s="1">
        <v>29</v>
      </c>
      <c r="C31" t="s">
        <v>23</v>
      </c>
      <c r="D31" t="s">
        <v>39</v>
      </c>
      <c r="E31" s="6">
        <v>5</v>
      </c>
      <c r="F31" s="5">
        <v>13000</v>
      </c>
      <c r="G31" s="5">
        <f>Table1[[#This Row],[Unit]]*Table1[[#This Row],[Harga Satuan]]</f>
        <v>65000</v>
      </c>
    </row>
    <row r="32" spans="2:12" x14ac:dyDescent="0.35">
      <c r="B32" s="1">
        <v>30</v>
      </c>
      <c r="C32" t="s">
        <v>25</v>
      </c>
      <c r="D32" t="s">
        <v>39</v>
      </c>
      <c r="E32" s="6">
        <v>3</v>
      </c>
      <c r="F32" s="5">
        <v>15000</v>
      </c>
      <c r="G32" s="5">
        <f>Table1[[#This Row],[Unit]]*Table1[[#This Row],[Harga Satuan]]</f>
        <v>45000</v>
      </c>
    </row>
    <row r="33" spans="2:7" x14ac:dyDescent="0.35">
      <c r="B33" s="1" t="s">
        <v>5</v>
      </c>
      <c r="E33" s="6"/>
      <c r="G33" s="5">
        <f>SUBTOTAL(109,Table1[Total])</f>
        <v>2672500</v>
      </c>
    </row>
  </sheetData>
  <dataValidations count="1">
    <dataValidation type="list" allowBlank="1" showInputMessage="1" showErrorMessage="1" sqref="D3:D32" xr:uid="{0039E8D2-BC4E-4F42-871E-A9181DDEEE30}">
      <formula1>$I$3:$I$7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36" fitToHeight="0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Hisan Putra</dc:creator>
  <cp:lastModifiedBy>Hisan Putra</cp:lastModifiedBy>
  <cp:lastPrinted>2026-05-19T10:51:28Z</cp:lastPrinted>
  <dcterms:created xsi:type="dcterms:W3CDTF">2015-06-05T18:17:20Z</dcterms:created>
  <dcterms:modified xsi:type="dcterms:W3CDTF">2026-05-19T12:58:25Z</dcterms:modified>
</cp:coreProperties>
</file>