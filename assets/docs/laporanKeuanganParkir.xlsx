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elta\Assignment\Fake Document\"/>
    </mc:Choice>
  </mc:AlternateContent>
  <xr:revisionPtr revIDLastSave="0" documentId="13_ncr:1_{3D60616C-B6E8-4D4B-9C5A-6184C18D9780}" xr6:coauthVersionLast="47" xr6:coauthVersionMax="47" xr10:uidLastSave="{00000000-0000-0000-0000-000000000000}"/>
  <bookViews>
    <workbookView xWindow="-110" yWindow="-110" windowWidth="19420" windowHeight="10300" activeTab="1" xr2:uid="{DECD8F1C-5359-44CC-BFB8-0BC86319CDDA}"/>
  </bookViews>
  <sheets>
    <sheet name="Sheet1" sheetId="1" r:id="rId1"/>
    <sheet name="Sheet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4" i="1" l="1" a="1"/>
  <c r="V4" i="1" s="1"/>
  <c r="Q4" i="1" a="1"/>
  <c r="Q4" i="1" s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L4" i="1" a="1"/>
  <c r="L4" i="1" s="1"/>
  <c r="H4" i="1" a="1"/>
  <c r="H4" i="1" s="1"/>
  <c r="H5" i="1" a="1"/>
  <c r="H5" i="1" s="1"/>
  <c r="H6" i="1" a="1"/>
  <c r="H6" i="1" s="1"/>
  <c r="H7" i="1" a="1"/>
  <c r="H7" i="1" s="1"/>
  <c r="H8" i="1" a="1"/>
  <c r="H8" i="1" s="1"/>
  <c r="H9" i="1" a="1"/>
  <c r="H9" i="1" s="1"/>
  <c r="H10" i="1" a="1"/>
  <c r="H10" i="1" s="1"/>
  <c r="H11" i="1" a="1"/>
  <c r="H11" i="1" s="1"/>
  <c r="H12" i="1" a="1"/>
  <c r="H12" i="1" s="1"/>
  <c r="H13" i="1" a="1"/>
  <c r="H13" i="1" s="1"/>
  <c r="H14" i="1" a="1"/>
  <c r="H14" i="1" s="1"/>
  <c r="H15" i="1" a="1"/>
  <c r="H15" i="1" s="1"/>
  <c r="H16" i="1" a="1"/>
  <c r="H16" i="1" s="1"/>
  <c r="H17" i="1" a="1"/>
  <c r="H17" i="1" s="1"/>
  <c r="H18" i="1" a="1"/>
  <c r="H18" i="1" s="1"/>
  <c r="H19" i="1" a="1"/>
  <c r="H19" i="1" s="1"/>
  <c r="H20" i="1" a="1"/>
  <c r="H20" i="1" s="1"/>
  <c r="H21" i="1" a="1"/>
  <c r="H21" i="1" s="1"/>
  <c r="H22" i="1" a="1"/>
  <c r="H22" i="1" s="1"/>
  <c r="H23" i="1" a="1"/>
  <c r="H23" i="1" s="1"/>
  <c r="H24" i="1" a="1"/>
  <c r="H24" i="1" s="1"/>
  <c r="H25" i="1" a="1"/>
  <c r="H25" i="1" s="1"/>
  <c r="H26" i="1" a="1"/>
  <c r="H26" i="1" s="1"/>
  <c r="H27" i="1" a="1"/>
  <c r="H27" i="1" s="1"/>
  <c r="H28" i="1" a="1"/>
  <c r="H28" i="1" s="1"/>
  <c r="H29" i="1" a="1"/>
  <c r="H29" i="1" s="1"/>
  <c r="H30" i="1" a="1"/>
  <c r="H30" i="1" s="1"/>
  <c r="H31" i="1" a="1"/>
  <c r="H31" i="1" s="1"/>
  <c r="H32" i="1" a="1"/>
  <c r="H32" i="1" s="1"/>
  <c r="H33" i="1" a="1"/>
  <c r="H33" i="1" s="1"/>
  <c r="H34" i="1" a="1"/>
  <c r="H34" i="1" s="1"/>
  <c r="H35" i="1" a="1"/>
  <c r="H35" i="1" s="1"/>
  <c r="H36" i="1" a="1"/>
  <c r="H36" i="1" s="1"/>
  <c r="H37" i="1" a="1"/>
  <c r="H37" i="1" s="1"/>
  <c r="H38" i="1" a="1"/>
  <c r="H38" i="1" s="1"/>
  <c r="H39" i="1" a="1"/>
  <c r="H39" i="1" s="1"/>
  <c r="H40" i="1" a="1"/>
  <c r="H40" i="1" s="1"/>
  <c r="H41" i="1" a="1"/>
  <c r="H41" i="1" s="1"/>
  <c r="H42" i="1" a="1"/>
  <c r="H42" i="1" s="1"/>
  <c r="H43" i="1" a="1"/>
  <c r="H43" i="1" s="1"/>
  <c r="H44" i="1" a="1"/>
  <c r="H44" i="1" s="1"/>
  <c r="H45" i="1" a="1"/>
  <c r="H45" i="1" s="1"/>
  <c r="H46" i="1" a="1"/>
  <c r="H46" i="1" s="1"/>
  <c r="H47" i="1" a="1"/>
  <c r="H47" i="1" s="1"/>
  <c r="H48" i="1" a="1"/>
  <c r="H48" i="1" s="1"/>
  <c r="H49" i="1" a="1"/>
  <c r="H49" i="1" s="1"/>
  <c r="H50" i="1" a="1"/>
  <c r="H50" i="1" s="1"/>
  <c r="H51" i="1" a="1"/>
  <c r="H51" i="1" s="1"/>
  <c r="H52" i="1" a="1"/>
  <c r="H52" i="1" s="1"/>
  <c r="H53" i="1" a="1"/>
  <c r="H53" i="1" s="1"/>
  <c r="W5" i="1" l="1"/>
  <c r="W4" i="1"/>
  <c r="I46" i="1"/>
  <c r="I30" i="1"/>
  <c r="I14" i="1"/>
  <c r="I33" i="1"/>
  <c r="I50" i="1"/>
  <c r="I42" i="1"/>
  <c r="I34" i="1"/>
  <c r="I26" i="1"/>
  <c r="I18" i="1"/>
  <c r="I10" i="1"/>
  <c r="I49" i="1"/>
  <c r="I41" i="1"/>
  <c r="I25" i="1"/>
  <c r="I17" i="1"/>
  <c r="I9" i="1"/>
  <c r="I48" i="1"/>
  <c r="I32" i="1"/>
  <c r="I24" i="1"/>
  <c r="I16" i="1"/>
  <c r="M17" i="1" a="1"/>
  <c r="M17" i="1" s="1"/>
  <c r="M7" i="1" a="1"/>
  <c r="M7" i="1" s="1"/>
  <c r="I38" i="1"/>
  <c r="I22" i="1"/>
  <c r="I6" i="1"/>
  <c r="I47" i="1"/>
  <c r="I31" i="1"/>
  <c r="I15" i="1"/>
  <c r="I39" i="1"/>
  <c r="I23" i="1"/>
  <c r="I7" i="1"/>
  <c r="M6" i="1" a="1"/>
  <c r="M6" i="1" s="1"/>
  <c r="I53" i="1"/>
  <c r="I37" i="1"/>
  <c r="I21" i="1"/>
  <c r="I52" i="1"/>
  <c r="I44" i="1"/>
  <c r="I36" i="1"/>
  <c r="I28" i="1"/>
  <c r="I20" i="1"/>
  <c r="I12" i="1"/>
  <c r="I4" i="1"/>
  <c r="I45" i="1"/>
  <c r="I29" i="1"/>
  <c r="I13" i="1"/>
  <c r="I51" i="1"/>
  <c r="I43" i="1"/>
  <c r="I35" i="1"/>
  <c r="I27" i="1"/>
  <c r="I19" i="1"/>
  <c r="I11" i="1"/>
  <c r="M10" i="1" a="1"/>
  <c r="M10" i="1" s="1"/>
  <c r="R4" i="1"/>
  <c r="R6" i="1"/>
  <c r="R7" i="1"/>
  <c r="M9" i="1" a="1"/>
  <c r="M9" i="1" s="1"/>
  <c r="M16" i="1" a="1"/>
  <c r="M16" i="1" s="1"/>
  <c r="M28" i="1" a="1"/>
  <c r="M28" i="1" s="1"/>
  <c r="I40" i="1"/>
  <c r="I8" i="1"/>
  <c r="M8" i="1" a="1"/>
  <c r="M8" i="1" s="1"/>
  <c r="M21" i="1" a="1"/>
  <c r="M21" i="1" s="1"/>
  <c r="M15" i="1" a="1"/>
  <c r="M15" i="1" s="1"/>
  <c r="M27" i="1" a="1"/>
  <c r="M27" i="1" s="1"/>
  <c r="R5" i="1"/>
  <c r="M29" i="1" a="1"/>
  <c r="M29" i="1" s="1"/>
  <c r="M26" i="1" a="1"/>
  <c r="M26" i="1" s="1"/>
  <c r="M13" i="1" a="1"/>
  <c r="M13" i="1" s="1"/>
  <c r="I5" i="1"/>
  <c r="M5" i="1" a="1"/>
  <c r="M5" i="1" s="1"/>
  <c r="M12" i="1" a="1"/>
  <c r="M12" i="1" s="1"/>
  <c r="M22" i="1" a="1"/>
  <c r="M22" i="1" s="1"/>
  <c r="M20" i="1" a="1"/>
  <c r="M20" i="1" s="1"/>
  <c r="M19" i="1" a="1"/>
  <c r="M19" i="1" s="1"/>
  <c r="M25" i="1" a="1"/>
  <c r="M25" i="1" s="1"/>
  <c r="M24" i="1" a="1"/>
  <c r="M24" i="1" s="1"/>
  <c r="M18" i="1" a="1"/>
  <c r="M18" i="1" s="1"/>
  <c r="M11" i="1" a="1"/>
  <c r="M11" i="1" s="1"/>
  <c r="M14" i="1" a="1"/>
  <c r="M14" i="1" s="1"/>
  <c r="M23" i="1" a="1"/>
  <c r="M23" i="1" s="1"/>
  <c r="M30" i="1" a="1"/>
  <c r="M30" i="1" s="1"/>
  <c r="R8" i="1"/>
  <c r="M4" i="1" a="1"/>
  <c r="M4" i="1" s="1"/>
  <c r="X5" i="1" l="1"/>
  <c r="X4" i="1"/>
  <c r="S6" i="1"/>
  <c r="S8" i="1"/>
  <c r="S5" i="1"/>
  <c r="S4" i="1"/>
  <c r="S7" i="1"/>
  <c r="N4" i="1" a="1"/>
  <c r="N4" i="1" s="1"/>
  <c r="N14" i="1" a="1"/>
  <c r="N14" i="1" s="1"/>
  <c r="N26" i="1" a="1"/>
  <c r="N26" i="1" s="1"/>
  <c r="N15" i="1" a="1"/>
  <c r="N15" i="1" s="1"/>
  <c r="N30" i="1" a="1"/>
  <c r="N30" i="1" s="1"/>
  <c r="N9" i="1" a="1"/>
  <c r="N9" i="1" s="1"/>
  <c r="N21" i="1" a="1"/>
  <c r="N21" i="1" s="1"/>
  <c r="N20" i="1" a="1"/>
  <c r="N20" i="1" s="1"/>
  <c r="N23" i="1" a="1"/>
  <c r="N23" i="1" s="1"/>
  <c r="N28" i="1" a="1"/>
  <c r="N28" i="1" s="1"/>
  <c r="N29" i="1" a="1"/>
  <c r="N29" i="1" s="1"/>
  <c r="N27" i="1" a="1"/>
  <c r="N27" i="1" s="1"/>
  <c r="N10" i="1" a="1"/>
  <c r="N10" i="1" s="1"/>
  <c r="N5" i="1" a="1"/>
  <c r="N5" i="1" s="1"/>
  <c r="N16" i="1" a="1"/>
  <c r="N16" i="1" s="1"/>
  <c r="N13" i="1" a="1"/>
  <c r="N13" i="1" s="1"/>
  <c r="N22" i="1" a="1"/>
  <c r="N22" i="1" s="1"/>
  <c r="N11" i="1" a="1"/>
  <c r="N11" i="1" s="1"/>
  <c r="N24" i="1" a="1"/>
  <c r="N24" i="1" s="1"/>
  <c r="N7" i="1" a="1"/>
  <c r="N7" i="1" s="1"/>
  <c r="N19" i="1" a="1"/>
  <c r="N19" i="1" s="1"/>
  <c r="N8" i="1" a="1"/>
  <c r="N8" i="1" s="1"/>
  <c r="N12" i="1" a="1"/>
  <c r="N12" i="1" s="1"/>
  <c r="N17" i="1" a="1"/>
  <c r="N17" i="1" s="1"/>
  <c r="N18" i="1" a="1"/>
  <c r="N18" i="1" s="1"/>
  <c r="N6" i="1" a="1"/>
  <c r="N6" i="1" s="1"/>
  <c r="N25" i="1" a="1"/>
  <c r="N2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<sst xmlns="http://schemas.openxmlformats.org/spreadsheetml/2006/main" count="124" uniqueCount="22">
  <si>
    <t>No</t>
  </si>
  <si>
    <t>Tanggal</t>
  </si>
  <si>
    <t>Waktu Masuk</t>
  </si>
  <si>
    <t>Waktu Keluar</t>
  </si>
  <si>
    <t>Area</t>
  </si>
  <si>
    <t>Jenis</t>
  </si>
  <si>
    <t>Tarif</t>
  </si>
  <si>
    <t>Total</t>
  </si>
  <si>
    <t>BDG</t>
  </si>
  <si>
    <t>CMH</t>
  </si>
  <si>
    <t>BGR</t>
  </si>
  <si>
    <t>BKS</t>
  </si>
  <si>
    <t>DPK</t>
  </si>
  <si>
    <t>Durasi
(Jam)</t>
  </si>
  <si>
    <t>Motor</t>
  </si>
  <si>
    <t>Mobil</t>
  </si>
  <si>
    <t>DATA BERDASARKAN TANGGAL</t>
  </si>
  <si>
    <t>DATA MENTAH</t>
  </si>
  <si>
    <t>Total Durasi
(Jam)</t>
  </si>
  <si>
    <t>Total
Pendapatan</t>
  </si>
  <si>
    <t>DATA BERDASARKAN AREA</t>
  </si>
  <si>
    <t>DATA BERDASARKAN JENIS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</si>
</sst>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\ hh:mm:ss"/>
    <numFmt numFmtId="165" formatCode="&quot;Rp&quot;#,##0.00"/>
    <numFmt numFmtId="166" formatCode="[h]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164" fontId="0" fillId="0" borderId="7" xfId="0" applyNumberFormat="1" applyBorder="1"/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5" fontId="0" fillId="0" borderId="1" xfId="0" applyNumberFormat="1" applyBorder="1"/>
    <xf numFmtId="165" fontId="0" fillId="0" borderId="7" xfId="0" applyNumberFormat="1" applyBorder="1"/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5" fontId="0" fillId="0" borderId="3" xfId="0" applyNumberFormat="1" applyBorder="1"/>
    <xf numFmtId="165" fontId="0" fillId="0" borderId="8" xfId="0" applyNumberFormat="1" applyBorder="1"/>
    <xf numFmtId="166" fontId="1" fillId="2" borderId="5" xfId="0" applyNumberFormat="1" applyFont="1" applyFill="1" applyBorder="1" applyAlignment="1">
      <alignment horizontal="center" vertical="center" wrapText="1"/>
    </xf>
    <xf numFmtId="0" fontId="2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4" fontId="0" fillId="0" borderId="1" xfId="0" applyNumberFormat="1" applyBorder="1"/>
    <xf numFmtId="14" fontId="0" fillId="0" borderId="0" xfId="0" applyNumberFormat="1"/>
    <xf numFmtId="0" fontId="0" fillId="0" borderId="0" xfId="0" applyAlignment="1">
      <alignment horizontal="center"/>
    </xf>
    <xf numFmtId="165" fontId="0" fillId="0" borderId="0" xfId="0" applyNumberFormat="1"/>
    <xf numFmtId="14" fontId="1" fillId="2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14" fontId="1" fillId="0" borderId="9" xfId="0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12">
    <dxf>
      <numFmt numFmtId="165" formatCode="&quot;Rp&quot;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p&quot;#,##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dd/mm/yyyy\ hh:mm:ss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dd/mm/yyyy\ hh:mm:ss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7030A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baseline="0"/>
              <a:t>Berdasarkan Tanggal</a:t>
            </a:r>
            <a:endParaRPr lang="en-ID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1"/>
          <c:tx>
            <c:v>Pendapatan</c:v>
          </c:tx>
          <c:spPr>
            <a:ln w="28575" cap="rnd">
              <a:solidFill>
                <a:srgbClr val="7030A0">
                  <a:alpha val="96000"/>
                </a:srgbClr>
              </a:solidFill>
              <a:round/>
            </a:ln>
            <a:effectLst/>
          </c:spPr>
          <c:marker>
            <c:symbol val="none"/>
          </c:marker>
          <c:cat>
            <c:numRef>
              <c:f>Sheet1!$L$4:$L$30</c:f>
              <c:numCache>
                <c:formatCode>m/d/yyyy</c:formatCode>
                <c:ptCount val="27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</c:numCache>
            </c:numRef>
          </c:cat>
          <c:val>
            <c:numRef>
              <c:f>Sheet1!$N$4:$N$30</c:f>
              <c:numCache>
                <c:formatCode>"Rp"#,##0.00</c:formatCode>
                <c:ptCount val="27"/>
                <c:pt idx="0">
                  <c:v>26000</c:v>
                </c:pt>
                <c:pt idx="1">
                  <c:v>12000</c:v>
                </c:pt>
                <c:pt idx="2">
                  <c:v>12000</c:v>
                </c:pt>
                <c:pt idx="3">
                  <c:v>24000</c:v>
                </c:pt>
                <c:pt idx="4">
                  <c:v>25000</c:v>
                </c:pt>
                <c:pt idx="5">
                  <c:v>16000</c:v>
                </c:pt>
                <c:pt idx="6">
                  <c:v>16000</c:v>
                </c:pt>
                <c:pt idx="7">
                  <c:v>23000</c:v>
                </c:pt>
                <c:pt idx="8">
                  <c:v>18000</c:v>
                </c:pt>
                <c:pt idx="9">
                  <c:v>16000</c:v>
                </c:pt>
                <c:pt idx="10">
                  <c:v>16000</c:v>
                </c:pt>
                <c:pt idx="11">
                  <c:v>18000</c:v>
                </c:pt>
                <c:pt idx="12">
                  <c:v>30000</c:v>
                </c:pt>
                <c:pt idx="13">
                  <c:v>12000</c:v>
                </c:pt>
                <c:pt idx="14">
                  <c:v>14000</c:v>
                </c:pt>
                <c:pt idx="15">
                  <c:v>27000</c:v>
                </c:pt>
                <c:pt idx="16">
                  <c:v>14000</c:v>
                </c:pt>
                <c:pt idx="17">
                  <c:v>14000</c:v>
                </c:pt>
                <c:pt idx="18">
                  <c:v>18000</c:v>
                </c:pt>
                <c:pt idx="19">
                  <c:v>25000</c:v>
                </c:pt>
                <c:pt idx="20">
                  <c:v>14000</c:v>
                </c:pt>
                <c:pt idx="21">
                  <c:v>16000</c:v>
                </c:pt>
                <c:pt idx="22">
                  <c:v>4000</c:v>
                </c:pt>
                <c:pt idx="23">
                  <c:v>9000</c:v>
                </c:pt>
                <c:pt idx="24">
                  <c:v>8000</c:v>
                </c:pt>
                <c:pt idx="25">
                  <c:v>6000</c:v>
                </c:pt>
                <c:pt idx="26">
                  <c:v>12000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103-476F-8653-51F86AB3DC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1716879"/>
        <c:axId val="1078776271"/>
      </c:lineChart>
      <c:lineChart>
        <c:grouping val="standard"/>
        <c:varyColors val="0"/>
        <c:ser>
          <c:idx val="1"/>
          <c:order val="0"/>
          <c:tx>
            <c:v>Durasi</c:v>
          </c:tx>
          <c:spPr>
            <a:ln w="28575">
              <a:solidFill>
                <a:srgbClr val="002060"/>
              </a:solidFill>
            </a:ln>
          </c:spPr>
          <c:marker>
            <c:symbol val="none"/>
          </c:marker>
          <c:cat>
            <c:numRef>
              <c:f>Sheet1!$L$4:$L$30</c:f>
              <c:numCache>
                <c:formatCode>m/d/yyyy</c:formatCode>
                <c:ptCount val="27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</c:numCache>
            </c:numRef>
          </c:cat>
          <c:val>
            <c:numRef>
              <c:f>Sheet1!$M$4:$M$30</c:f>
              <c:numCache>
                <c:formatCode>General</c:formatCode>
                <c:ptCount val="27"/>
                <c:pt idx="0">
                  <c:v>9</c:v>
                </c:pt>
                <c:pt idx="1">
                  <c:v>6</c:v>
                </c:pt>
                <c:pt idx="2">
                  <c:v>6</c:v>
                </c:pt>
                <c:pt idx="3">
                  <c:v>8</c:v>
                </c:pt>
                <c:pt idx="4">
                  <c:v>9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8</c:v>
                </c:pt>
                <c:pt idx="9">
                  <c:v>8</c:v>
                </c:pt>
                <c:pt idx="10">
                  <c:v>6</c:v>
                </c:pt>
                <c:pt idx="11">
                  <c:v>8</c:v>
                </c:pt>
                <c:pt idx="12">
                  <c:v>10</c:v>
                </c:pt>
                <c:pt idx="13">
                  <c:v>6</c:v>
                </c:pt>
                <c:pt idx="14">
                  <c:v>7</c:v>
                </c:pt>
                <c:pt idx="15">
                  <c:v>9</c:v>
                </c:pt>
                <c:pt idx="16">
                  <c:v>7</c:v>
                </c:pt>
                <c:pt idx="17">
                  <c:v>7</c:v>
                </c:pt>
                <c:pt idx="18">
                  <c:v>6</c:v>
                </c:pt>
                <c:pt idx="19">
                  <c:v>9</c:v>
                </c:pt>
                <c:pt idx="20">
                  <c:v>6</c:v>
                </c:pt>
                <c:pt idx="21">
                  <c:v>8</c:v>
                </c:pt>
                <c:pt idx="22">
                  <c:v>2</c:v>
                </c:pt>
                <c:pt idx="23">
                  <c:v>3</c:v>
                </c:pt>
                <c:pt idx="24">
                  <c:v>4</c:v>
                </c:pt>
                <c:pt idx="25">
                  <c:v>3</c:v>
                </c:pt>
                <c:pt idx="26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103-476F-8653-51F86AB3DC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7073343"/>
        <c:axId val="1488032639"/>
      </c:lineChart>
      <c:dateAx>
        <c:axId val="129171687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776271"/>
        <c:crosses val="autoZero"/>
        <c:auto val="1"/>
        <c:lblOffset val="100"/>
        <c:baseTimeUnit val="days"/>
      </c:dateAx>
      <c:valAx>
        <c:axId val="107877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p&quot;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1716879"/>
        <c:crosses val="autoZero"/>
        <c:crossBetween val="between"/>
      </c:valAx>
      <c:valAx>
        <c:axId val="1488032639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1507073343"/>
        <c:crosses val="max"/>
        <c:crossBetween val="between"/>
      </c:valAx>
      <c:dateAx>
        <c:axId val="1507073343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488032639"/>
        <c:crosses val="autoZero"/>
        <c:auto val="1"/>
        <c:lblOffset val="100"/>
        <c:baseTimeUnit val="days"/>
        <c:majorUnit val="1"/>
        <c:minorUnit val="1"/>
      </c:dateAx>
      <c:spPr>
        <a:ln>
          <a:noFill/>
        </a:ln>
      </c:spPr>
    </c:plotArea>
    <c:legend>
      <c:legendPos val="b"/>
      <c:overlay val="0"/>
    </c:legend>
    <c:plotVisOnly val="1"/>
    <c:dispBlanksAs val="gap"/>
    <c:showDLblsOverMax val="0"/>
    <c:extLst/>
  </c:chart>
  <c:spPr>
    <a:ln w="9525">
      <a:solidFill>
        <a:srgbClr val="7030A0"/>
      </a:solidFill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kumimoji="0" lang="en-ID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Calibri" panose="020F0502020204030204"/>
              </a:rPr>
              <a:t>Berdasarkan Area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Durasi</c:v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Sheet1!$Q$4:$Q$8</c:f>
              <c:strCache>
                <c:ptCount val="5"/>
                <c:pt idx="0">
                  <c:v>BDG</c:v>
                </c:pt>
                <c:pt idx="1">
                  <c:v>CMH</c:v>
                </c:pt>
                <c:pt idx="2">
                  <c:v>BKS</c:v>
                </c:pt>
                <c:pt idx="3">
                  <c:v>DPK</c:v>
                </c:pt>
                <c:pt idx="4">
                  <c:v>BGR</c:v>
                </c:pt>
              </c:strCache>
            </c:strRef>
          </c:cat>
          <c:val>
            <c:numRef>
              <c:f>Sheet1!$R$4:$R$8</c:f>
              <c:numCache>
                <c:formatCode>General</c:formatCode>
                <c:ptCount val="5"/>
                <c:pt idx="0">
                  <c:v>43</c:v>
                </c:pt>
                <c:pt idx="1">
                  <c:v>24</c:v>
                </c:pt>
                <c:pt idx="2">
                  <c:v>45</c:v>
                </c:pt>
                <c:pt idx="3">
                  <c:v>53</c:v>
                </c:pt>
                <c:pt idx="4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C7-4F3E-860D-BFCBEFB93A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3601071"/>
        <c:axId val="1523602991"/>
      </c:barChart>
      <c:lineChart>
        <c:grouping val="standard"/>
        <c:varyColors val="0"/>
        <c:ser>
          <c:idx val="1"/>
          <c:order val="1"/>
          <c:tx>
            <c:v>Pendapatan</c:v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strRef>
              <c:f>Sheet1!$Q$4:$Q$8</c:f>
              <c:strCache>
                <c:ptCount val="5"/>
                <c:pt idx="0">
                  <c:v>BDG</c:v>
                </c:pt>
                <c:pt idx="1">
                  <c:v>CMH</c:v>
                </c:pt>
                <c:pt idx="2">
                  <c:v>BKS</c:v>
                </c:pt>
                <c:pt idx="3">
                  <c:v>DPK</c:v>
                </c:pt>
                <c:pt idx="4">
                  <c:v>BGR</c:v>
                </c:pt>
              </c:strCache>
            </c:strRef>
          </c:cat>
          <c:val>
            <c:numRef>
              <c:f>Sheet1!$S$4:$S$8</c:f>
              <c:numCache>
                <c:formatCode>"Rp"#,##0.00</c:formatCode>
                <c:ptCount val="5"/>
                <c:pt idx="0">
                  <c:v>111000</c:v>
                </c:pt>
                <c:pt idx="1">
                  <c:v>67000</c:v>
                </c:pt>
                <c:pt idx="2">
                  <c:v>109000</c:v>
                </c:pt>
                <c:pt idx="3">
                  <c:v>120000</c:v>
                </c:pt>
                <c:pt idx="4">
                  <c:v>38000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C7-4F3E-860D-BFCBEFB93A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3747583"/>
        <c:axId val="1513748063"/>
      </c:lineChart>
      <c:catAx>
        <c:axId val="1513747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3748063"/>
        <c:crosses val="autoZero"/>
        <c:auto val="1"/>
        <c:lblAlgn val="ctr"/>
        <c:lblOffset val="100"/>
        <c:noMultiLvlLbl val="0"/>
      </c:catAx>
      <c:valAx>
        <c:axId val="1513748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p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3747583"/>
        <c:crosses val="autoZero"/>
        <c:crossBetween val="between"/>
      </c:valAx>
      <c:valAx>
        <c:axId val="1523602991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601071"/>
        <c:crosses val="max"/>
        <c:crossBetween val="between"/>
      </c:valAx>
      <c:catAx>
        <c:axId val="152360107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2360299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7030A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Durasi </a:t>
            </a:r>
            <a:r>
              <a:rPr lang="en-ID" baseline="0"/>
              <a:t>Berdasarkan Jenis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4B9-4FBE-A6C8-FB792B2CF760}"/>
              </c:ext>
            </c:extLst>
          </c:dPt>
          <c:dPt>
            <c:idx val="1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4B9-4FBE-A6C8-FB792B2CF760}"/>
              </c:ext>
            </c:extLst>
          </c:dPt>
          <c:cat>
            <c:strRef>
              <c:f>Sheet1!$V$4:$V$5</c:f>
              <c:strCache>
                <c:ptCount val="2"/>
                <c:pt idx="0">
                  <c:v>Motor</c:v>
                </c:pt>
                <c:pt idx="1">
                  <c:v>Mobil</c:v>
                </c:pt>
              </c:strCache>
            </c:strRef>
          </c:cat>
          <c:val>
            <c:numRef>
              <c:f>Sheet1!$W$4:$W$5</c:f>
              <c:numCache>
                <c:formatCode>General</c:formatCode>
                <c:ptCount val="2"/>
                <c:pt idx="0">
                  <c:v>104</c:v>
                </c:pt>
                <c:pt idx="1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116-44CD-A748-A8524B0713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7030A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Pendapatan</a:t>
            </a:r>
            <a:r>
              <a:rPr lang="en-ID" baseline="0"/>
              <a:t> Berdasarkan Jenis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D8DF-4C14-BBFF-29CE1D731DF2}"/>
              </c:ext>
            </c:extLst>
          </c:dPt>
          <c:dPt>
            <c:idx val="1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8DF-4C14-BBFF-29CE1D731DF2}"/>
              </c:ext>
            </c:extLst>
          </c:dPt>
          <c:cat>
            <c:strRef>
              <c:f>Sheet1!$V$4:$V$5</c:f>
              <c:strCache>
                <c:ptCount val="2"/>
                <c:pt idx="0">
                  <c:v>Motor</c:v>
                </c:pt>
                <c:pt idx="1">
                  <c:v>Mobil</c:v>
                </c:pt>
              </c:strCache>
            </c:strRef>
          </c:cat>
          <c:val>
            <c:numRef>
              <c:f>Sheet1!$X$4:$X$5</c:f>
              <c:numCache>
                <c:formatCode>"Rp"#,##0.00</c:formatCode>
                <c:ptCount val="2"/>
                <c:pt idx="0">
                  <c:v>208000</c:v>
                </c:pt>
                <c:pt idx="1">
                  <c:v>237000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DF-4C14-BBFF-29CE1D731D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7030A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595200</xdr:colOff>
      <xdr:row>19</xdr:row>
      <xdr:rowOff>137870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E1EE16-5EC9-634D-CEE5-FAB27CBE79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19</xdr:row>
      <xdr:rowOff>145366</xdr:rowOff>
    </xdr:from>
    <xdr:to>
      <xdr:col>9</xdr:col>
      <xdr:colOff>1120</xdr:colOff>
      <xdr:row>38</xdr:row>
      <xdr:rowOff>165100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C37E0E3-1648-7E3B-69CE-CDD1161546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547696</xdr:colOff>
      <xdr:row>15</xdr:row>
      <xdr:rowOff>124586</xdr:rowOff>
    </xdr:from>
    <xdr:to>
      <xdr:col>16</xdr:col>
      <xdr:colOff>350896</xdr:colOff>
      <xdr:row>31</xdr:row>
      <xdr:rowOff>58186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676B613-BCB5-362A-0F72-F2C0570FEF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546685</xdr:colOff>
      <xdr:row>0</xdr:row>
      <xdr:rowOff>0</xdr:rowOff>
    </xdr:from>
    <xdr:to>
      <xdr:col>16</xdr:col>
      <xdr:colOff>349885</xdr:colOff>
      <xdr:row>15</xdr:row>
      <xdr:rowOff>117750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BC914EC-3BAD-1333-EE1A-0BF807F23C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C1675B-D3C6-459D-9153-BC82AB62304E}" name="Table1" displayName="Table1" ref="B3:I53" totalsRowShown="0" headerRowDxfId="11" headerRowBorderDxfId="10" tableBorderDxfId="9" totalsRowBorderDxfId="8">
  <autoFilter ref="B3:I53" xr:uid="{18C1675B-D3C6-459D-9153-BC82AB62304E}"/>
  <sortState xmlns:xlrd2="http://schemas.microsoft.com/office/spreadsheetml/2017/richdata2" ref="B4:I53">
    <sortCondition ref="B3:B53"/>
  </sortState>
  <tableColumns count="8">
    <tableColumn id="1" xr3:uid="{A5254AFA-20AC-4B78-8F46-24F76B2BF01C}" name="No" dataDxfId="7"/>
    <tableColumn id="2" xr3:uid="{F6801364-FCD8-4524-A5BA-EB8B37648995}" name="Area" dataDxfId="6"/>
    <tableColumn id="3" xr3:uid="{CA9A549B-66A6-4E90-AA35-5A256C6E9169}" name="Waktu Masuk" dataDxfId="5"/>
    <tableColumn id="4" xr3:uid="{1DDC4003-9F63-4905-8542-91D08EDF5133}" name="Waktu Keluar" dataDxfId="4"/>
    <tableColumn id="5" xr3:uid="{6964C91C-D472-4E97-A131-A4F9351B38E9}" name="Durasi_x000a_(Jam)" dataDxfId="3">
      <calculatedColumnFormula>HOUR(Table1[[#This Row],[Waktu Keluar]]-Table1[[#This Row],[Waktu Masuk]])</calculatedColumnFormula>
    </tableColumn>
    <tableColumn id="6" xr3:uid="{9DCB6A5C-C7BF-4C71-BBCE-F0CE2C7044C3}" name="Jenis" dataDxfId="2"/>
    <tableColumn id="7" xr3:uid="{D4492460-FE83-4F44-BC62-8F085081F972}" name="Tarif" dataDxfId="1">
      <calculatedColumnFormula array="1">_xlfn.IFS(Table1[[#This Row],[Jenis]]="Motor", 2000, Table1[[#This Row],[Jenis]]="Mobil",3000)</calculatedColumnFormula>
    </tableColumn>
    <tableColumn id="9" xr3:uid="{6004B4E3-743A-4919-A64E-3D0B2A1843B7}" name="Total" dataDxfId="0">
      <calculatedColumnFormula>Table1[[#This Row],[Durasi
(Jam)]]*Table1[[#This Row],[Tarif]]</calculatedColumnFormula>
    </tableColumn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8A2E8-F47D-4FAB-AC15-201410BBA036}">
  <dimension ref="B2:X53"/>
  <sheetViews>
    <sheetView topLeftCell="G1" zoomScaleNormal="100" workbookViewId="0">
      <selection activeCell="U2" activeCellId="2" sqref="K2:N30 P2:S9 U2:X5"/>
    </sheetView>
  </sheetViews>
  <sheetFormatPr defaultRowHeight="14.5" x14ac:dyDescent="0.35"/>
  <cols>
    <col min="2" max="2" width="7.7265625" bestFit="1" customWidth="1"/>
    <col min="3" max="3" width="9.26953125" bestFit="1" customWidth="1"/>
    <col min="4" max="5" width="18.1796875" bestFit="1" customWidth="1"/>
    <col min="6" max="6" width="10.7265625" bestFit="1" customWidth="1"/>
    <col min="7" max="7" width="9.36328125" bestFit="1" customWidth="1"/>
    <col min="8" max="8" width="10" bestFit="1" customWidth="1"/>
    <col min="9" max="9" width="11" customWidth="1"/>
    <col min="11" max="11" width="3.1796875" bestFit="1" customWidth="1"/>
    <col min="12" max="12" width="10.453125" bestFit="1" customWidth="1"/>
    <col min="13" max="13" width="12.453125" customWidth="1"/>
    <col min="14" max="14" width="11.81640625" customWidth="1"/>
    <col min="16" max="16" width="3.1796875" bestFit="1" customWidth="1"/>
    <col min="17" max="17" width="4.90625" bestFit="1" customWidth="1"/>
    <col min="18" max="18" width="12.453125" customWidth="1"/>
    <col min="19" max="19" width="12.6328125" customWidth="1"/>
    <col min="21" max="21" width="3.1796875" bestFit="1" customWidth="1"/>
    <col min="22" max="22" width="6.08984375" bestFit="1" customWidth="1"/>
    <col min="23" max="23" width="11.26953125" customWidth="1"/>
    <col min="24" max="24" width="12" bestFit="1" customWidth="1"/>
    <col min="26" max="26" width="12.36328125" bestFit="1" customWidth="1"/>
    <col min="27" max="28" width="12.08984375" bestFit="1" customWidth="1"/>
  </cols>
  <sheetData>
    <row r="2" spans="2:24" ht="15.5" x14ac:dyDescent="0.35">
      <c r="B2" s="26" t="s">
        <v>17</v>
      </c>
      <c r="C2" s="26"/>
      <c r="D2" s="26"/>
      <c r="E2" s="26"/>
      <c r="F2" s="26"/>
      <c r="G2" s="26"/>
      <c r="H2" s="26"/>
      <c r="I2" s="26"/>
      <c r="K2" s="26" t="s">
        <v>16</v>
      </c>
      <c r="L2" s="26"/>
      <c r="M2" s="26"/>
      <c r="N2" s="26"/>
      <c r="O2" s="17"/>
      <c r="P2" s="26" t="s">
        <v>20</v>
      </c>
      <c r="Q2" s="26"/>
      <c r="R2" s="26"/>
      <c r="S2" s="26"/>
      <c r="U2" s="28" t="s">
        <v>21</v>
      </c>
      <c r="V2" s="28"/>
      <c r="W2" s="28"/>
      <c r="X2" s="28"/>
    </row>
    <row r="3" spans="2:24" ht="29" x14ac:dyDescent="0.35">
      <c r="B3" s="8" t="s">
        <v>0</v>
      </c>
      <c r="C3" s="9" t="s">
        <v>4</v>
      </c>
      <c r="D3" s="9" t="s">
        <v>2</v>
      </c>
      <c r="E3" s="9" t="s">
        <v>3</v>
      </c>
      <c r="F3" s="16" t="s">
        <v>13</v>
      </c>
      <c r="G3" s="9" t="s">
        <v>5</v>
      </c>
      <c r="H3" s="9" t="s">
        <v>6</v>
      </c>
      <c r="I3" s="9" t="s">
        <v>7</v>
      </c>
      <c r="K3" s="18" t="s">
        <v>0</v>
      </c>
      <c r="L3" s="24" t="s">
        <v>1</v>
      </c>
      <c r="M3" s="19" t="s">
        <v>18</v>
      </c>
      <c r="N3" s="19" t="s">
        <v>19</v>
      </c>
      <c r="P3" s="18" t="s">
        <v>0</v>
      </c>
      <c r="Q3" s="18" t="s">
        <v>4</v>
      </c>
      <c r="R3" s="19" t="s">
        <v>18</v>
      </c>
      <c r="S3" s="19" t="s">
        <v>19</v>
      </c>
      <c r="U3" s="18" t="s">
        <v>0</v>
      </c>
      <c r="V3" s="18" t="s">
        <v>5</v>
      </c>
      <c r="W3" s="19" t="s">
        <v>18</v>
      </c>
      <c r="X3" s="19" t="s">
        <v>19</v>
      </c>
    </row>
    <row r="4" spans="2:24" x14ac:dyDescent="0.35">
      <c r="B4" s="4">
        <v>1</v>
      </c>
      <c r="C4" s="1" t="s">
        <v>8</v>
      </c>
      <c r="D4" s="3">
        <v>46054.341666666667</v>
      </c>
      <c r="E4" s="3">
        <v>46054.420138888891</v>
      </c>
      <c r="F4" s="12">
        <f>HOUR(Table1[[#This Row],[Waktu Keluar]]-Table1[[#This Row],[Waktu Masuk]])</f>
        <v>1</v>
      </c>
      <c r="G4" s="1" t="s">
        <v>14</v>
      </c>
      <c r="H4" s="10" cm="1">
        <f t="array" ref="H4">_xlfn.IFS(Table1[[#This Row],[Jenis]]="Motor", 2000, Table1[[#This Row],[Jenis]]="Mobil",3000)</f>
        <v>2000</v>
      </c>
      <c r="I4" s="14">
        <f>Table1[[#This Row],[Durasi
(Jam)]]*Table1[[#This Row],[Tarif]]</f>
        <v>2000</v>
      </c>
      <c r="K4" s="1">
        <v>1</v>
      </c>
      <c r="L4" s="21" cm="1">
        <f t="array" ref="L4:L30">_xlfn.UNIQUE(INT(Table1[Waktu Keluar]))</f>
        <v>46054</v>
      </c>
      <c r="M4" s="1" cm="1">
        <f t="array" ref="M4">SUMPRODUCT((INT(Table1[Waktu Keluar])=L4)*Table1[Durasi
(Jam)])</f>
        <v>9</v>
      </c>
      <c r="N4" s="10" cm="1">
        <f t="array" ref="N4">SUMPRODUCT((INT(Table1[Waktu Keluar])=L4)*Table1[Total])</f>
        <v>26000</v>
      </c>
      <c r="P4" s="12">
        <v>1</v>
      </c>
      <c r="Q4" s="12" t="str" cm="1">
        <f t="array" ref="Q4:Q8">_xlfn.UNIQUE(Table1[Area])</f>
        <v>BDG</v>
      </c>
      <c r="R4" s="1">
        <f>SUMIF(Table1[Area],Q4,Table1[Durasi
(Jam)])</f>
        <v>43</v>
      </c>
      <c r="S4" s="10">
        <f>SUMIF(Table1[Area],Q4,Table1[Total])</f>
        <v>111000</v>
      </c>
      <c r="U4" s="1">
        <v>1</v>
      </c>
      <c r="V4" s="2" t="str" cm="1">
        <f t="array" ref="V4:V5">_xlfn.UNIQUE(Table1[Jenis])</f>
        <v>Motor</v>
      </c>
      <c r="W4" s="1">
        <f>SUMIF(Table1[Jenis],V4,Table1[Durasi
(Jam)])</f>
        <v>104</v>
      </c>
      <c r="X4" s="10">
        <f>SUMIF(Table1[Jenis],V4,Table1[Total])</f>
        <v>208000</v>
      </c>
    </row>
    <row r="5" spans="2:24" x14ac:dyDescent="0.35">
      <c r="B5" s="4">
        <v>2</v>
      </c>
      <c r="C5" s="1" t="s">
        <v>9</v>
      </c>
      <c r="D5" s="3">
        <v>46054.40625</v>
      </c>
      <c r="E5" s="3">
        <v>46054.512499999997</v>
      </c>
      <c r="F5" s="12">
        <f>HOUR(Table1[[#This Row],[Waktu Keluar]]-Table1[[#This Row],[Waktu Masuk]])</f>
        <v>2</v>
      </c>
      <c r="G5" s="1" t="s">
        <v>15</v>
      </c>
      <c r="H5" s="10" cm="1">
        <f t="array" ref="H5">_xlfn.IFS(Table1[[#This Row],[Jenis]]="Motor", 2000, Table1[[#This Row],[Jenis]]="Mobil",3000)</f>
        <v>3000</v>
      </c>
      <c r="I5" s="14">
        <f>Table1[[#This Row],[Durasi
(Jam)]]*Table1[[#This Row],[Tarif]]</f>
        <v>6000</v>
      </c>
      <c r="K5" s="1">
        <v>2</v>
      </c>
      <c r="L5" s="20">
        <v>46055</v>
      </c>
      <c r="M5" s="1" cm="1">
        <f t="array" ref="M5">SUMPRODUCT((INT(Table1[Waktu Keluar])=L5)*Table1[Durasi
(Jam)])</f>
        <v>6</v>
      </c>
      <c r="N5" s="10" cm="1">
        <f t="array" ref="N5">SUMPRODUCT((INT(Table1[Waktu Keluar])=L5)*Table1[Total])</f>
        <v>12000</v>
      </c>
      <c r="P5" s="12">
        <v>2</v>
      </c>
      <c r="Q5" s="12" t="str">
        <v>CMH</v>
      </c>
      <c r="R5" s="1">
        <f>SUMIF(Table1[Area],Q5,Table1[Durasi
(Jam)])</f>
        <v>24</v>
      </c>
      <c r="S5" s="10">
        <f>SUMIF(Table1[Area],Q5,Table1[Total])</f>
        <v>67000</v>
      </c>
      <c r="U5" s="1">
        <v>2</v>
      </c>
      <c r="V5" s="2" t="str">
        <v>Mobil</v>
      </c>
      <c r="W5" s="1">
        <f>SUMIF(Table1[Jenis],V5,Table1[Durasi
(Jam)])</f>
        <v>79</v>
      </c>
      <c r="X5" s="10">
        <f>SUMIF(Table1[Jenis],V5,Table1[Total])</f>
        <v>237000</v>
      </c>
    </row>
    <row r="6" spans="2:24" x14ac:dyDescent="0.35">
      <c r="B6" s="4">
        <v>3</v>
      </c>
      <c r="C6" s="1" t="s">
        <v>9</v>
      </c>
      <c r="D6" s="3">
        <v>46054.460416666669</v>
      </c>
      <c r="E6" s="3">
        <v>46054.738888888889</v>
      </c>
      <c r="F6" s="12">
        <f>HOUR(Table1[[#This Row],[Waktu Keluar]]-Table1[[#This Row],[Waktu Masuk]])</f>
        <v>6</v>
      </c>
      <c r="G6" s="1" t="s">
        <v>15</v>
      </c>
      <c r="H6" s="10" cm="1">
        <f t="array" ref="H6">_xlfn.IFS(Table1[[#This Row],[Jenis]]="Motor", 2000, Table1[[#This Row],[Jenis]]="Mobil",3000)</f>
        <v>3000</v>
      </c>
      <c r="I6" s="14">
        <f>Table1[[#This Row],[Durasi
(Jam)]]*Table1[[#This Row],[Tarif]]</f>
        <v>18000</v>
      </c>
      <c r="K6" s="1">
        <v>3</v>
      </c>
      <c r="L6" s="20">
        <v>46056</v>
      </c>
      <c r="M6" s="1" cm="1">
        <f t="array" ref="M6">SUMPRODUCT((INT(Table1[Waktu Keluar])=L6)*Table1[Durasi
(Jam)])</f>
        <v>6</v>
      </c>
      <c r="N6" s="10" cm="1">
        <f t="array" ref="N6">SUMPRODUCT((INT(Table1[Waktu Keluar])=L6)*Table1[Total])</f>
        <v>12000</v>
      </c>
      <c r="P6" s="12">
        <v>3</v>
      </c>
      <c r="Q6" s="12" t="str">
        <v>BKS</v>
      </c>
      <c r="R6" s="1">
        <f>SUMIF(Table1[Area],Q6,Table1[Durasi
(Jam)])</f>
        <v>45</v>
      </c>
      <c r="S6" s="10">
        <f>SUMIF(Table1[Area],Q6,Table1[Total])</f>
        <v>109000</v>
      </c>
    </row>
    <row r="7" spans="2:24" x14ac:dyDescent="0.35">
      <c r="B7" s="4">
        <v>4</v>
      </c>
      <c r="C7" s="1" t="s">
        <v>11</v>
      </c>
      <c r="D7" s="3">
        <v>46055.311111111114</v>
      </c>
      <c r="E7" s="3">
        <v>46055.376388888886</v>
      </c>
      <c r="F7" s="12">
        <f>HOUR(Table1[[#This Row],[Waktu Keluar]]-Table1[[#This Row],[Waktu Masuk]])</f>
        <v>1</v>
      </c>
      <c r="G7" s="1" t="s">
        <v>14</v>
      </c>
      <c r="H7" s="10" cm="1">
        <f t="array" ref="H7">_xlfn.IFS(Table1[[#This Row],[Jenis]]="Motor", 2000, Table1[[#This Row],[Jenis]]="Mobil",3000)</f>
        <v>2000</v>
      </c>
      <c r="I7" s="14">
        <f>Table1[[#This Row],[Durasi
(Jam)]]*Table1[[#This Row],[Tarif]]</f>
        <v>2000</v>
      </c>
      <c r="K7" s="1">
        <v>4</v>
      </c>
      <c r="L7" s="20">
        <v>46057</v>
      </c>
      <c r="M7" s="1" cm="1">
        <f t="array" ref="M7">SUMPRODUCT((INT(Table1[Waktu Keluar])=L7)*Table1[Durasi
(Jam)])</f>
        <v>8</v>
      </c>
      <c r="N7" s="10" cm="1">
        <f t="array" ref="N7">SUMPRODUCT((INT(Table1[Waktu Keluar])=L7)*Table1[Total])</f>
        <v>24000</v>
      </c>
      <c r="P7" s="12">
        <v>4</v>
      </c>
      <c r="Q7" s="12" t="str">
        <v>DPK</v>
      </c>
      <c r="R7" s="1">
        <f>SUMIF(Table1[Area],Q7,Table1[Durasi
(Jam)])</f>
        <v>53</v>
      </c>
      <c r="S7" s="10">
        <f>SUMIF(Table1[Area],Q7,Table1[Total])</f>
        <v>120000</v>
      </c>
    </row>
    <row r="8" spans="2:24" x14ac:dyDescent="0.35">
      <c r="B8" s="4">
        <v>5</v>
      </c>
      <c r="C8" s="1" t="s">
        <v>12</v>
      </c>
      <c r="D8" s="3">
        <v>46055.553472222222</v>
      </c>
      <c r="E8" s="3">
        <v>46055.775000000001</v>
      </c>
      <c r="F8" s="12">
        <f>HOUR(Table1[[#This Row],[Waktu Keluar]]-Table1[[#This Row],[Waktu Masuk]])</f>
        <v>5</v>
      </c>
      <c r="G8" s="1" t="s">
        <v>14</v>
      </c>
      <c r="H8" s="10" cm="1">
        <f t="array" ref="H8">_xlfn.IFS(Table1[[#This Row],[Jenis]]="Motor", 2000, Table1[[#This Row],[Jenis]]="Mobil",3000)</f>
        <v>2000</v>
      </c>
      <c r="I8" s="14">
        <f>Table1[[#This Row],[Durasi
(Jam)]]*Table1[[#This Row],[Tarif]]</f>
        <v>10000</v>
      </c>
      <c r="K8" s="1">
        <v>5</v>
      </c>
      <c r="L8" s="20">
        <v>46058</v>
      </c>
      <c r="M8" s="1" cm="1">
        <f t="array" ref="M8">SUMPRODUCT((INT(Table1[Waktu Keluar])=L8)*Table1[Durasi
(Jam)])</f>
        <v>9</v>
      </c>
      <c r="N8" s="10" cm="1">
        <f t="array" ref="N8">SUMPRODUCT((INT(Table1[Waktu Keluar])=L8)*Table1[Total])</f>
        <v>25000</v>
      </c>
      <c r="P8" s="12">
        <v>5</v>
      </c>
      <c r="Q8" s="12" t="str">
        <v>BGR</v>
      </c>
      <c r="R8" s="1">
        <f>SUMIF(Table1[Area],Q8,Table1[Durasi
(Jam)])</f>
        <v>18</v>
      </c>
      <c r="S8" s="10">
        <f>SUMIF(Table1[Area],Q8,Table1[Total])</f>
        <v>38000</v>
      </c>
    </row>
    <row r="9" spans="2:24" x14ac:dyDescent="0.35">
      <c r="B9" s="4">
        <v>6</v>
      </c>
      <c r="C9" s="1" t="s">
        <v>10</v>
      </c>
      <c r="D9" s="3">
        <v>46056.455555555556</v>
      </c>
      <c r="E9" s="3">
        <v>46056.556250000001</v>
      </c>
      <c r="F9" s="12">
        <f>HOUR(Table1[[#This Row],[Waktu Keluar]]-Table1[[#This Row],[Waktu Masuk]])</f>
        <v>2</v>
      </c>
      <c r="G9" s="1" t="s">
        <v>14</v>
      </c>
      <c r="H9" s="10" cm="1">
        <f t="array" ref="H9">_xlfn.IFS(Table1[[#This Row],[Jenis]]="Motor", 2000, Table1[[#This Row],[Jenis]]="Mobil",3000)</f>
        <v>2000</v>
      </c>
      <c r="I9" s="14">
        <f>Table1[[#This Row],[Durasi
(Jam)]]*Table1[[#This Row],[Tarif]]</f>
        <v>4000</v>
      </c>
      <c r="K9" s="1">
        <v>6</v>
      </c>
      <c r="L9" s="20">
        <v>46059</v>
      </c>
      <c r="M9" s="1" cm="1">
        <f t="array" ref="M9">SUMPRODUCT((INT(Table1[Waktu Keluar])=L9)*Table1[Durasi
(Jam)])</f>
        <v>7</v>
      </c>
      <c r="N9" s="10" cm="1">
        <f t="array" ref="N9">SUMPRODUCT((INT(Table1[Waktu Keluar])=L9)*Table1[Total])</f>
        <v>16000</v>
      </c>
      <c r="P9" s="27"/>
      <c r="Q9" s="27"/>
    </row>
    <row r="10" spans="2:24" x14ac:dyDescent="0.35">
      <c r="B10" s="4">
        <v>7</v>
      </c>
      <c r="C10" s="1" t="s">
        <v>11</v>
      </c>
      <c r="D10" s="3">
        <v>46056.654166666667</v>
      </c>
      <c r="E10" s="3">
        <v>46056.84097222222</v>
      </c>
      <c r="F10" s="12">
        <f>HOUR(Table1[[#This Row],[Waktu Keluar]]-Table1[[#This Row],[Waktu Masuk]])</f>
        <v>4</v>
      </c>
      <c r="G10" s="1" t="s">
        <v>14</v>
      </c>
      <c r="H10" s="10" cm="1">
        <f t="array" ref="H10">_xlfn.IFS(Table1[[#This Row],[Jenis]]="Motor", 2000, Table1[[#This Row],[Jenis]]="Mobil",3000)</f>
        <v>2000</v>
      </c>
      <c r="I10" s="14">
        <f>Table1[[#This Row],[Durasi
(Jam)]]*Table1[[#This Row],[Tarif]]</f>
        <v>8000</v>
      </c>
      <c r="K10" s="1">
        <v>7</v>
      </c>
      <c r="L10" s="20">
        <v>46060</v>
      </c>
      <c r="M10" s="1" cm="1">
        <f t="array" ref="M10">SUMPRODUCT((INT(Table1[Waktu Keluar])=L10)*Table1[Durasi
(Jam)])</f>
        <v>8</v>
      </c>
      <c r="N10" s="10" cm="1">
        <f t="array" ref="N10">SUMPRODUCT((INT(Table1[Waktu Keluar])=L10)*Table1[Total])</f>
        <v>16000</v>
      </c>
      <c r="P10" s="21"/>
    </row>
    <row r="11" spans="2:24" x14ac:dyDescent="0.35">
      <c r="B11" s="4">
        <v>8</v>
      </c>
      <c r="C11" s="1" t="s">
        <v>12</v>
      </c>
      <c r="D11" s="3">
        <v>46057.274305555555</v>
      </c>
      <c r="E11" s="3">
        <v>46057.367361111108</v>
      </c>
      <c r="F11" s="12">
        <f>HOUR(Table1[[#This Row],[Waktu Keluar]]-Table1[[#This Row],[Waktu Masuk]])</f>
        <v>2</v>
      </c>
      <c r="G11" s="1" t="s">
        <v>15</v>
      </c>
      <c r="H11" s="10" cm="1">
        <f t="array" ref="H11">_xlfn.IFS(Table1[[#This Row],[Jenis]]="Motor", 2000, Table1[[#This Row],[Jenis]]="Mobil",3000)</f>
        <v>3000</v>
      </c>
      <c r="I11" s="14">
        <f>Table1[[#This Row],[Durasi
(Jam)]]*Table1[[#This Row],[Tarif]]</f>
        <v>6000</v>
      </c>
      <c r="K11" s="1">
        <v>8</v>
      </c>
      <c r="L11" s="20">
        <v>46061</v>
      </c>
      <c r="M11" s="1" cm="1">
        <f t="array" ref="M11">SUMPRODUCT((INT(Table1[Waktu Keluar])=L11)*Table1[Durasi
(Jam)])</f>
        <v>9</v>
      </c>
      <c r="N11" s="10" cm="1">
        <f t="array" ref="N11">SUMPRODUCT((INT(Table1[Waktu Keluar])=L11)*Table1[Total])</f>
        <v>23000</v>
      </c>
      <c r="P11" s="21"/>
    </row>
    <row r="12" spans="2:24" x14ac:dyDescent="0.35">
      <c r="B12" s="4">
        <v>9</v>
      </c>
      <c r="C12" s="1" t="s">
        <v>8</v>
      </c>
      <c r="D12" s="3">
        <v>46057.51666666667</v>
      </c>
      <c r="E12" s="3">
        <v>46057.796527777777</v>
      </c>
      <c r="F12" s="12">
        <f>HOUR(Table1[[#This Row],[Waktu Keluar]]-Table1[[#This Row],[Waktu Masuk]])</f>
        <v>6</v>
      </c>
      <c r="G12" s="1" t="s">
        <v>15</v>
      </c>
      <c r="H12" s="10" cm="1">
        <f t="array" ref="H12">_xlfn.IFS(Table1[[#This Row],[Jenis]]="Motor", 2000, Table1[[#This Row],[Jenis]]="Mobil",3000)</f>
        <v>3000</v>
      </c>
      <c r="I12" s="14">
        <f>Table1[[#This Row],[Durasi
(Jam)]]*Table1[[#This Row],[Tarif]]</f>
        <v>18000</v>
      </c>
      <c r="K12" s="1">
        <v>9</v>
      </c>
      <c r="L12" s="20">
        <v>46062</v>
      </c>
      <c r="M12" s="1" cm="1">
        <f t="array" ref="M12">SUMPRODUCT((INT(Table1[Waktu Keluar])=L12)*Table1[Durasi
(Jam)])</f>
        <v>8</v>
      </c>
      <c r="N12" s="10" cm="1">
        <f t="array" ref="N12">SUMPRODUCT((INT(Table1[Waktu Keluar])=L12)*Table1[Total])</f>
        <v>18000</v>
      </c>
      <c r="P12" s="21"/>
    </row>
    <row r="13" spans="2:24" x14ac:dyDescent="0.35">
      <c r="B13" s="4">
        <v>10</v>
      </c>
      <c r="C13" s="1" t="s">
        <v>8</v>
      </c>
      <c r="D13" s="3">
        <v>46058.368750000001</v>
      </c>
      <c r="E13" s="3">
        <v>46058.468055555553</v>
      </c>
      <c r="F13" s="12">
        <f>HOUR(Table1[[#This Row],[Waktu Keluar]]-Table1[[#This Row],[Waktu Masuk]])</f>
        <v>2</v>
      </c>
      <c r="G13" s="1" t="s">
        <v>14</v>
      </c>
      <c r="H13" s="10" cm="1">
        <f t="array" ref="H13">_xlfn.IFS(Table1[[#This Row],[Jenis]]="Motor", 2000, Table1[[#This Row],[Jenis]]="Mobil",3000)</f>
        <v>2000</v>
      </c>
      <c r="I13" s="14">
        <f>Table1[[#This Row],[Durasi
(Jam)]]*Table1[[#This Row],[Tarif]]</f>
        <v>4000</v>
      </c>
      <c r="K13" s="1">
        <v>10</v>
      </c>
      <c r="L13" s="20">
        <v>46063</v>
      </c>
      <c r="M13" s="1" cm="1">
        <f t="array" ref="M13">SUMPRODUCT((INT(Table1[Waktu Keluar])=L13)*Table1[Durasi
(Jam)])</f>
        <v>8</v>
      </c>
      <c r="N13" s="10" cm="1">
        <f t="array" ref="N13">SUMPRODUCT((INT(Table1[Waktu Keluar])=L13)*Table1[Total])</f>
        <v>16000</v>
      </c>
      <c r="P13" s="21"/>
    </row>
    <row r="14" spans="2:24" x14ac:dyDescent="0.35">
      <c r="B14" s="4">
        <v>11</v>
      </c>
      <c r="C14" s="1" t="s">
        <v>9</v>
      </c>
      <c r="D14" s="3">
        <v>46058.589583333334</v>
      </c>
      <c r="E14" s="3">
        <v>46058.918749999997</v>
      </c>
      <c r="F14" s="12">
        <f>HOUR(Table1[[#This Row],[Waktu Keluar]]-Table1[[#This Row],[Waktu Masuk]])</f>
        <v>7</v>
      </c>
      <c r="G14" s="1" t="s">
        <v>15</v>
      </c>
      <c r="H14" s="10" cm="1">
        <f t="array" ref="H14">_xlfn.IFS(Table1[[#This Row],[Jenis]]="Motor", 2000, Table1[[#This Row],[Jenis]]="Mobil",3000)</f>
        <v>3000</v>
      </c>
      <c r="I14" s="14">
        <f>Table1[[#This Row],[Durasi
(Jam)]]*Table1[[#This Row],[Tarif]]</f>
        <v>21000</v>
      </c>
      <c r="K14" s="1">
        <v>11</v>
      </c>
      <c r="L14" s="20">
        <v>46064</v>
      </c>
      <c r="M14" s="1" cm="1">
        <f t="array" ref="M14">SUMPRODUCT((INT(Table1[Waktu Keluar])=L14)*Table1[Durasi
(Jam)])</f>
        <v>6</v>
      </c>
      <c r="N14" s="10" cm="1">
        <f t="array" ref="N14">SUMPRODUCT((INT(Table1[Waktu Keluar])=L14)*Table1[Total])</f>
        <v>16000</v>
      </c>
      <c r="P14" s="21"/>
    </row>
    <row r="15" spans="2:24" x14ac:dyDescent="0.35">
      <c r="B15" s="4">
        <v>12</v>
      </c>
      <c r="C15" s="1" t="s">
        <v>11</v>
      </c>
      <c r="D15" s="3">
        <v>46059.397916666669</v>
      </c>
      <c r="E15" s="3">
        <v>46059.518055555556</v>
      </c>
      <c r="F15" s="12">
        <f>HOUR(Table1[[#This Row],[Waktu Keluar]]-Table1[[#This Row],[Waktu Masuk]])</f>
        <v>2</v>
      </c>
      <c r="G15" s="1" t="s">
        <v>15</v>
      </c>
      <c r="H15" s="10" cm="1">
        <f t="array" ref="H15">_xlfn.IFS(Table1[[#This Row],[Jenis]]="Motor", 2000, Table1[[#This Row],[Jenis]]="Mobil",3000)</f>
        <v>3000</v>
      </c>
      <c r="I15" s="14">
        <f>Table1[[#This Row],[Durasi
(Jam)]]*Table1[[#This Row],[Tarif]]</f>
        <v>6000</v>
      </c>
      <c r="K15" s="1">
        <v>12</v>
      </c>
      <c r="L15" s="20">
        <v>46065</v>
      </c>
      <c r="M15" s="1" cm="1">
        <f t="array" ref="M15">SUMPRODUCT((INT(Table1[Waktu Keluar])=L15)*Table1[Durasi
(Jam)])</f>
        <v>8</v>
      </c>
      <c r="N15" s="10" cm="1">
        <f t="array" ref="N15">SUMPRODUCT((INT(Table1[Waktu Keluar])=L15)*Table1[Total])</f>
        <v>18000</v>
      </c>
      <c r="P15" s="21"/>
    </row>
    <row r="16" spans="2:24" x14ac:dyDescent="0.35">
      <c r="B16" s="4">
        <v>13</v>
      </c>
      <c r="C16" s="1" t="s">
        <v>12</v>
      </c>
      <c r="D16" s="3">
        <v>46059.679166666669</v>
      </c>
      <c r="E16" s="3">
        <v>46059.902777777781</v>
      </c>
      <c r="F16" s="12">
        <f>HOUR(Table1[[#This Row],[Waktu Keluar]]-Table1[[#This Row],[Waktu Masuk]])</f>
        <v>5</v>
      </c>
      <c r="G16" s="1" t="s">
        <v>14</v>
      </c>
      <c r="H16" s="10" cm="1">
        <f t="array" ref="H16">_xlfn.IFS(Table1[[#This Row],[Jenis]]="Motor", 2000, Table1[[#This Row],[Jenis]]="Mobil",3000)</f>
        <v>2000</v>
      </c>
      <c r="I16" s="14">
        <f>Table1[[#This Row],[Durasi
(Jam)]]*Table1[[#This Row],[Tarif]]</f>
        <v>10000</v>
      </c>
      <c r="K16" s="1">
        <v>13</v>
      </c>
      <c r="L16" s="20">
        <v>46066</v>
      </c>
      <c r="M16" s="1" cm="1">
        <f t="array" ref="M16">SUMPRODUCT((INT(Table1[Waktu Keluar])=L16)*Table1[Durasi
(Jam)])</f>
        <v>10</v>
      </c>
      <c r="N16" s="10" cm="1">
        <f t="array" ref="N16">SUMPRODUCT((INT(Table1[Waktu Keluar])=L16)*Table1[Total])</f>
        <v>30000</v>
      </c>
    </row>
    <row r="17" spans="2:14" x14ac:dyDescent="0.35">
      <c r="B17" s="4">
        <v>14</v>
      </c>
      <c r="C17" s="1" t="s">
        <v>10</v>
      </c>
      <c r="D17" s="3">
        <v>46060.324305555558</v>
      </c>
      <c r="E17" s="3">
        <v>46060.439583333333</v>
      </c>
      <c r="F17" s="12">
        <f>HOUR(Table1[[#This Row],[Waktu Keluar]]-Table1[[#This Row],[Waktu Masuk]])</f>
        <v>2</v>
      </c>
      <c r="G17" s="1" t="s">
        <v>14</v>
      </c>
      <c r="H17" s="10" cm="1">
        <f t="array" ref="H17">_xlfn.IFS(Table1[[#This Row],[Jenis]]="Motor", 2000, Table1[[#This Row],[Jenis]]="Mobil",3000)</f>
        <v>2000</v>
      </c>
      <c r="I17" s="14">
        <f>Table1[[#This Row],[Durasi
(Jam)]]*Table1[[#This Row],[Tarif]]</f>
        <v>4000</v>
      </c>
      <c r="K17" s="1">
        <v>14</v>
      </c>
      <c r="L17" s="20">
        <v>46067</v>
      </c>
      <c r="M17" s="1" cm="1">
        <f t="array" ref="M17">SUMPRODUCT((INT(Table1[Waktu Keluar])=L17)*Table1[Durasi
(Jam)])</f>
        <v>6</v>
      </c>
      <c r="N17" s="10" cm="1">
        <f t="array" ref="N17">SUMPRODUCT((INT(Table1[Waktu Keluar])=L17)*Table1[Total])</f>
        <v>12000</v>
      </c>
    </row>
    <row r="18" spans="2:14" x14ac:dyDescent="0.35">
      <c r="B18" s="4">
        <v>15</v>
      </c>
      <c r="C18" s="1" t="s">
        <v>11</v>
      </c>
      <c r="D18" s="3">
        <v>46060.498611111114</v>
      </c>
      <c r="E18" s="3">
        <v>46060.767361111109</v>
      </c>
      <c r="F18" s="12">
        <f>HOUR(Table1[[#This Row],[Waktu Keluar]]-Table1[[#This Row],[Waktu Masuk]])</f>
        <v>6</v>
      </c>
      <c r="G18" s="1" t="s">
        <v>14</v>
      </c>
      <c r="H18" s="10" cm="1">
        <f t="array" ref="H18">_xlfn.IFS(Table1[[#This Row],[Jenis]]="Motor", 2000, Table1[[#This Row],[Jenis]]="Mobil",3000)</f>
        <v>2000</v>
      </c>
      <c r="I18" s="14">
        <f>Table1[[#This Row],[Durasi
(Jam)]]*Table1[[#This Row],[Tarif]]</f>
        <v>12000</v>
      </c>
      <c r="K18" s="1">
        <v>15</v>
      </c>
      <c r="L18" s="20">
        <v>46068</v>
      </c>
      <c r="M18" s="1" cm="1">
        <f t="array" ref="M18">SUMPRODUCT((INT(Table1[Waktu Keluar])=L18)*Table1[Durasi
(Jam)])</f>
        <v>7</v>
      </c>
      <c r="N18" s="10" cm="1">
        <f t="array" ref="N18">SUMPRODUCT((INT(Table1[Waktu Keluar])=L18)*Table1[Total])</f>
        <v>14000</v>
      </c>
    </row>
    <row r="19" spans="2:14" x14ac:dyDescent="0.35">
      <c r="B19" s="4">
        <v>16</v>
      </c>
      <c r="C19" s="1" t="s">
        <v>12</v>
      </c>
      <c r="D19" s="3">
        <v>46061.431250000001</v>
      </c>
      <c r="E19" s="3">
        <v>46061.62222222222</v>
      </c>
      <c r="F19" s="12">
        <f>HOUR(Table1[[#This Row],[Waktu Keluar]]-Table1[[#This Row],[Waktu Masuk]])</f>
        <v>4</v>
      </c>
      <c r="G19" s="1" t="s">
        <v>14</v>
      </c>
      <c r="H19" s="10" cm="1">
        <f t="array" ref="H19">_xlfn.IFS(Table1[[#This Row],[Jenis]]="Motor", 2000, Table1[[#This Row],[Jenis]]="Mobil",3000)</f>
        <v>2000</v>
      </c>
      <c r="I19" s="14">
        <f>Table1[[#This Row],[Durasi
(Jam)]]*Table1[[#This Row],[Tarif]]</f>
        <v>8000</v>
      </c>
      <c r="K19" s="1">
        <v>16</v>
      </c>
      <c r="L19" s="20">
        <v>46069</v>
      </c>
      <c r="M19" s="1" cm="1">
        <f t="array" ref="M19">SUMPRODUCT((INT(Table1[Waktu Keluar])=L19)*Table1[Durasi
(Jam)])</f>
        <v>9</v>
      </c>
      <c r="N19" s="10" cm="1">
        <f t="array" ref="N19">SUMPRODUCT((INT(Table1[Waktu Keluar])=L19)*Table1[Total])</f>
        <v>27000</v>
      </c>
    </row>
    <row r="20" spans="2:14" x14ac:dyDescent="0.35">
      <c r="B20" s="4">
        <v>17</v>
      </c>
      <c r="C20" s="1" t="s">
        <v>11</v>
      </c>
      <c r="D20" s="3">
        <v>46061.711805555555</v>
      </c>
      <c r="E20" s="3">
        <v>46061.949305555558</v>
      </c>
      <c r="F20" s="12">
        <f>HOUR(Table1[[#This Row],[Waktu Keluar]]-Table1[[#This Row],[Waktu Masuk]])</f>
        <v>5</v>
      </c>
      <c r="G20" s="1" t="s">
        <v>15</v>
      </c>
      <c r="H20" s="10" cm="1">
        <f t="array" ref="H20">_xlfn.IFS(Table1[[#This Row],[Jenis]]="Motor", 2000, Table1[[#This Row],[Jenis]]="Mobil",3000)</f>
        <v>3000</v>
      </c>
      <c r="I20" s="14">
        <f>Table1[[#This Row],[Durasi
(Jam)]]*Table1[[#This Row],[Tarif]]</f>
        <v>15000</v>
      </c>
      <c r="K20" s="1">
        <v>17</v>
      </c>
      <c r="L20" s="20">
        <v>46070</v>
      </c>
      <c r="M20" s="1" cm="1">
        <f t="array" ref="M20">SUMPRODUCT((INT(Table1[Waktu Keluar])=L20)*Table1[Durasi
(Jam)])</f>
        <v>7</v>
      </c>
      <c r="N20" s="10" cm="1">
        <f t="array" ref="N20">SUMPRODUCT((INT(Table1[Waktu Keluar])=L20)*Table1[Total])</f>
        <v>14000</v>
      </c>
    </row>
    <row r="21" spans="2:14" x14ac:dyDescent="0.35">
      <c r="B21" s="4">
        <v>18</v>
      </c>
      <c r="C21" s="1" t="s">
        <v>12</v>
      </c>
      <c r="D21" s="3">
        <v>46062.36041666667</v>
      </c>
      <c r="E21" s="3">
        <v>46062.464583333334</v>
      </c>
      <c r="F21" s="12">
        <f>HOUR(Table1[[#This Row],[Waktu Keluar]]-Table1[[#This Row],[Waktu Masuk]])</f>
        <v>2</v>
      </c>
      <c r="G21" s="1" t="s">
        <v>15</v>
      </c>
      <c r="H21" s="10" cm="1">
        <f t="array" ref="H21">_xlfn.IFS(Table1[[#This Row],[Jenis]]="Motor", 2000, Table1[[#This Row],[Jenis]]="Mobil",3000)</f>
        <v>3000</v>
      </c>
      <c r="I21" s="14">
        <f>Table1[[#This Row],[Durasi
(Jam)]]*Table1[[#This Row],[Tarif]]</f>
        <v>6000</v>
      </c>
      <c r="K21" s="1">
        <v>18</v>
      </c>
      <c r="L21" s="20">
        <v>46071</v>
      </c>
      <c r="M21" s="1" cm="1">
        <f t="array" ref="M21">SUMPRODUCT((INT(Table1[Waktu Keluar])=L21)*Table1[Durasi
(Jam)])</f>
        <v>7</v>
      </c>
      <c r="N21" s="10" cm="1">
        <f t="array" ref="N21">SUMPRODUCT((INT(Table1[Waktu Keluar])=L21)*Table1[Total])</f>
        <v>14000</v>
      </c>
    </row>
    <row r="22" spans="2:14" x14ac:dyDescent="0.35">
      <c r="B22" s="4">
        <v>19</v>
      </c>
      <c r="C22" s="1" t="s">
        <v>10</v>
      </c>
      <c r="D22" s="3">
        <v>46062.572222222225</v>
      </c>
      <c r="E22" s="3">
        <v>46062.845833333333</v>
      </c>
      <c r="F22" s="12">
        <f>HOUR(Table1[[#This Row],[Waktu Keluar]]-Table1[[#This Row],[Waktu Masuk]])</f>
        <v>6</v>
      </c>
      <c r="G22" s="1" t="s">
        <v>14</v>
      </c>
      <c r="H22" s="10" cm="1">
        <f t="array" ref="H22">_xlfn.IFS(Table1[[#This Row],[Jenis]]="Motor", 2000, Table1[[#This Row],[Jenis]]="Mobil",3000)</f>
        <v>2000</v>
      </c>
      <c r="I22" s="14">
        <f>Table1[[#This Row],[Durasi
(Jam)]]*Table1[[#This Row],[Tarif]]</f>
        <v>12000</v>
      </c>
      <c r="K22" s="1">
        <v>19</v>
      </c>
      <c r="L22" s="20">
        <v>46072</v>
      </c>
      <c r="M22" s="1" cm="1">
        <f t="array" ref="M22">SUMPRODUCT((INT(Table1[Waktu Keluar])=L22)*Table1[Durasi
(Jam)])</f>
        <v>6</v>
      </c>
      <c r="N22" s="10" cm="1">
        <f t="array" ref="N22">SUMPRODUCT((INT(Table1[Waktu Keluar])=L22)*Table1[Total])</f>
        <v>18000</v>
      </c>
    </row>
    <row r="23" spans="2:14" x14ac:dyDescent="0.35">
      <c r="B23" s="4">
        <v>20</v>
      </c>
      <c r="C23" s="1" t="s">
        <v>11</v>
      </c>
      <c r="D23" s="3">
        <v>46063.382638888892</v>
      </c>
      <c r="E23" s="3">
        <v>46063.570833333331</v>
      </c>
      <c r="F23" s="12">
        <f>HOUR(Table1[[#This Row],[Waktu Keluar]]-Table1[[#This Row],[Waktu Masuk]])</f>
        <v>4</v>
      </c>
      <c r="G23" s="1" t="s">
        <v>14</v>
      </c>
      <c r="H23" s="10" cm="1">
        <f t="array" ref="H23">_xlfn.IFS(Table1[[#This Row],[Jenis]]="Motor", 2000, Table1[[#This Row],[Jenis]]="Mobil",3000)</f>
        <v>2000</v>
      </c>
      <c r="I23" s="14">
        <f>Table1[[#This Row],[Durasi
(Jam)]]*Table1[[#This Row],[Tarif]]</f>
        <v>8000</v>
      </c>
      <c r="K23" s="1">
        <v>20</v>
      </c>
      <c r="L23" s="20">
        <v>46073</v>
      </c>
      <c r="M23" s="1" cm="1">
        <f t="array" ref="M23">SUMPRODUCT((INT(Table1[Waktu Keluar])=L23)*Table1[Durasi
(Jam)])</f>
        <v>9</v>
      </c>
      <c r="N23" s="10" cm="1">
        <f t="array" ref="N23">SUMPRODUCT((INT(Table1[Waktu Keluar])=L23)*Table1[Total])</f>
        <v>25000</v>
      </c>
    </row>
    <row r="24" spans="2:14" x14ac:dyDescent="0.35">
      <c r="B24" s="4">
        <v>21</v>
      </c>
      <c r="C24" s="1" t="s">
        <v>12</v>
      </c>
      <c r="D24" s="3">
        <v>46063.643750000003</v>
      </c>
      <c r="E24" s="3">
        <v>46063.831944444442</v>
      </c>
      <c r="F24" s="12">
        <f>HOUR(Table1[[#This Row],[Waktu Keluar]]-Table1[[#This Row],[Waktu Masuk]])</f>
        <v>4</v>
      </c>
      <c r="G24" s="1" t="s">
        <v>14</v>
      </c>
      <c r="H24" s="10" cm="1">
        <f t="array" ref="H24">_xlfn.IFS(Table1[[#This Row],[Jenis]]="Motor", 2000, Table1[[#This Row],[Jenis]]="Mobil",3000)</f>
        <v>2000</v>
      </c>
      <c r="I24" s="14">
        <f>Table1[[#This Row],[Durasi
(Jam)]]*Table1[[#This Row],[Tarif]]</f>
        <v>8000</v>
      </c>
      <c r="K24" s="1">
        <v>21</v>
      </c>
      <c r="L24" s="20">
        <v>46074</v>
      </c>
      <c r="M24" s="1" cm="1">
        <f t="array" ref="M24">SUMPRODUCT((INT(Table1[Waktu Keluar])=L24)*Table1[Durasi
(Jam)])</f>
        <v>6</v>
      </c>
      <c r="N24" s="10" cm="1">
        <f t="array" ref="N24">SUMPRODUCT((INT(Table1[Waktu Keluar])=L24)*Table1[Total])</f>
        <v>14000</v>
      </c>
    </row>
    <row r="25" spans="2:14" x14ac:dyDescent="0.35">
      <c r="B25" s="4">
        <v>22</v>
      </c>
      <c r="C25" s="1" t="s">
        <v>8</v>
      </c>
      <c r="D25" s="3">
        <v>46064.28402777778</v>
      </c>
      <c r="E25" s="3">
        <v>46064.393750000003</v>
      </c>
      <c r="F25" s="12">
        <f>HOUR(Table1[[#This Row],[Waktu Keluar]]-Table1[[#This Row],[Waktu Masuk]])</f>
        <v>2</v>
      </c>
      <c r="G25" s="1" t="s">
        <v>14</v>
      </c>
      <c r="H25" s="10" cm="1">
        <f t="array" ref="H25">_xlfn.IFS(Table1[[#This Row],[Jenis]]="Motor", 2000, Table1[[#This Row],[Jenis]]="Mobil",3000)</f>
        <v>2000</v>
      </c>
      <c r="I25" s="14">
        <f>Table1[[#This Row],[Durasi
(Jam)]]*Table1[[#This Row],[Tarif]]</f>
        <v>4000</v>
      </c>
      <c r="K25" s="1">
        <v>22</v>
      </c>
      <c r="L25" s="20">
        <v>46075</v>
      </c>
      <c r="M25" s="1" cm="1">
        <f t="array" ref="M25">SUMPRODUCT((INT(Table1[Waktu Keluar])=L25)*Table1[Durasi
(Jam)])</f>
        <v>8</v>
      </c>
      <c r="N25" s="10" cm="1">
        <f t="array" ref="N25">SUMPRODUCT((INT(Table1[Waktu Keluar])=L25)*Table1[Total])</f>
        <v>16000</v>
      </c>
    </row>
    <row r="26" spans="2:14" x14ac:dyDescent="0.35">
      <c r="B26" s="4">
        <v>23</v>
      </c>
      <c r="C26" s="1" t="s">
        <v>8</v>
      </c>
      <c r="D26" s="3">
        <v>46064.525000000001</v>
      </c>
      <c r="E26" s="3">
        <v>46064.717361111114</v>
      </c>
      <c r="F26" s="12">
        <f>HOUR(Table1[[#This Row],[Waktu Keluar]]-Table1[[#This Row],[Waktu Masuk]])</f>
        <v>4</v>
      </c>
      <c r="G26" s="1" t="s">
        <v>15</v>
      </c>
      <c r="H26" s="10" cm="1">
        <f t="array" ref="H26">_xlfn.IFS(Table1[[#This Row],[Jenis]]="Motor", 2000, Table1[[#This Row],[Jenis]]="Mobil",3000)</f>
        <v>3000</v>
      </c>
      <c r="I26" s="14">
        <f>Table1[[#This Row],[Durasi
(Jam)]]*Table1[[#This Row],[Tarif]]</f>
        <v>12000</v>
      </c>
      <c r="K26" s="1">
        <v>23</v>
      </c>
      <c r="L26" s="20">
        <v>46076</v>
      </c>
      <c r="M26" s="1" cm="1">
        <f t="array" ref="M26">SUMPRODUCT((INT(Table1[Waktu Keluar])=L26)*Table1[Durasi
(Jam)])</f>
        <v>2</v>
      </c>
      <c r="N26" s="10" cm="1">
        <f t="array" ref="N26">SUMPRODUCT((INT(Table1[Waktu Keluar])=L26)*Table1[Total])</f>
        <v>4000</v>
      </c>
    </row>
    <row r="27" spans="2:14" x14ac:dyDescent="0.35">
      <c r="B27" s="4">
        <v>24</v>
      </c>
      <c r="C27" s="1" t="s">
        <v>8</v>
      </c>
      <c r="D27" s="3">
        <v>46065.336111111108</v>
      </c>
      <c r="E27" s="3">
        <v>46065.448611111111</v>
      </c>
      <c r="F27" s="12">
        <f>HOUR(Table1[[#This Row],[Waktu Keluar]]-Table1[[#This Row],[Waktu Masuk]])</f>
        <v>2</v>
      </c>
      <c r="G27" s="1" t="s">
        <v>15</v>
      </c>
      <c r="H27" s="10" cm="1">
        <f t="array" ref="H27">_xlfn.IFS(Table1[[#This Row],[Jenis]]="Motor", 2000, Table1[[#This Row],[Jenis]]="Mobil",3000)</f>
        <v>3000</v>
      </c>
      <c r="I27" s="14">
        <f>Table1[[#This Row],[Durasi
(Jam)]]*Table1[[#This Row],[Tarif]]</f>
        <v>6000</v>
      </c>
      <c r="K27" s="1">
        <v>24</v>
      </c>
      <c r="L27" s="20">
        <v>46077</v>
      </c>
      <c r="M27" s="1" cm="1">
        <f t="array" ref="M27">SUMPRODUCT((INT(Table1[Waktu Keluar])=L27)*Table1[Durasi
(Jam)])</f>
        <v>3</v>
      </c>
      <c r="N27" s="10" cm="1">
        <f t="array" ref="N27">SUMPRODUCT((INT(Table1[Waktu Keluar])=L27)*Table1[Total])</f>
        <v>9000</v>
      </c>
    </row>
    <row r="28" spans="2:14" x14ac:dyDescent="0.35">
      <c r="B28" s="4">
        <v>25</v>
      </c>
      <c r="C28" s="1" t="s">
        <v>8</v>
      </c>
      <c r="D28" s="3">
        <v>46065.621527777781</v>
      </c>
      <c r="E28" s="3">
        <v>46065.890277777777</v>
      </c>
      <c r="F28" s="12">
        <f>HOUR(Table1[[#This Row],[Waktu Keluar]]-Table1[[#This Row],[Waktu Masuk]])</f>
        <v>6</v>
      </c>
      <c r="G28" s="1" t="s">
        <v>14</v>
      </c>
      <c r="H28" s="10" cm="1">
        <f t="array" ref="H28">_xlfn.IFS(Table1[[#This Row],[Jenis]]="Motor", 2000, Table1[[#This Row],[Jenis]]="Mobil",3000)</f>
        <v>2000</v>
      </c>
      <c r="I28" s="14">
        <f>Table1[[#This Row],[Durasi
(Jam)]]*Table1[[#This Row],[Tarif]]</f>
        <v>12000</v>
      </c>
      <c r="K28" s="1">
        <v>25</v>
      </c>
      <c r="L28" s="20">
        <v>46078</v>
      </c>
      <c r="M28" s="1" cm="1">
        <f t="array" ref="M28">SUMPRODUCT((INT(Table1[Waktu Keluar])=L28)*Table1[Durasi
(Jam)])</f>
        <v>4</v>
      </c>
      <c r="N28" s="10" cm="1">
        <f t="array" ref="N28">SUMPRODUCT((INT(Table1[Waktu Keluar])=L28)*Table1[Total])</f>
        <v>8000</v>
      </c>
    </row>
    <row r="29" spans="2:14" x14ac:dyDescent="0.35">
      <c r="B29" s="4">
        <v>26</v>
      </c>
      <c r="C29" s="1" t="s">
        <v>9</v>
      </c>
      <c r="D29" s="3">
        <v>46066.426388888889</v>
      </c>
      <c r="E29" s="3">
        <v>46066.607638888891</v>
      </c>
      <c r="F29" s="12">
        <f>HOUR(Table1[[#This Row],[Waktu Keluar]]-Table1[[#This Row],[Waktu Masuk]])</f>
        <v>4</v>
      </c>
      <c r="G29" s="1" t="s">
        <v>15</v>
      </c>
      <c r="H29" s="10" cm="1">
        <f t="array" ref="H29">_xlfn.IFS(Table1[[#This Row],[Jenis]]="Motor", 2000, Table1[[#This Row],[Jenis]]="Mobil",3000)</f>
        <v>3000</v>
      </c>
      <c r="I29" s="14">
        <f>Table1[[#This Row],[Durasi
(Jam)]]*Table1[[#This Row],[Tarif]]</f>
        <v>12000</v>
      </c>
      <c r="K29" s="1">
        <v>26</v>
      </c>
      <c r="L29" s="20">
        <v>46079</v>
      </c>
      <c r="M29" s="1" cm="1">
        <f t="array" ref="M29">SUMPRODUCT((INT(Table1[Waktu Keluar])=L29)*Table1[Durasi
(Jam)])</f>
        <v>3</v>
      </c>
      <c r="N29" s="10" cm="1">
        <f t="array" ref="N29">SUMPRODUCT((INT(Table1[Waktu Keluar])=L29)*Table1[Total])</f>
        <v>6000</v>
      </c>
    </row>
    <row r="30" spans="2:14" x14ac:dyDescent="0.35">
      <c r="B30" s="4">
        <v>27</v>
      </c>
      <c r="C30" s="1" t="s">
        <v>11</v>
      </c>
      <c r="D30" s="3">
        <v>46066.695138888892</v>
      </c>
      <c r="E30" s="3">
        <v>46066.95416666667</v>
      </c>
      <c r="F30" s="12">
        <f>HOUR(Table1[[#This Row],[Waktu Keluar]]-Table1[[#This Row],[Waktu Masuk]])</f>
        <v>6</v>
      </c>
      <c r="G30" s="1" t="s">
        <v>15</v>
      </c>
      <c r="H30" s="10" cm="1">
        <f t="array" ref="H30">_xlfn.IFS(Table1[[#This Row],[Jenis]]="Motor", 2000, Table1[[#This Row],[Jenis]]="Mobil",3000)</f>
        <v>3000</v>
      </c>
      <c r="I30" s="14">
        <f>Table1[[#This Row],[Durasi
(Jam)]]*Table1[[#This Row],[Tarif]]</f>
        <v>18000</v>
      </c>
      <c r="K30" s="1">
        <v>27</v>
      </c>
      <c r="L30" s="20">
        <v>46080</v>
      </c>
      <c r="M30" s="1" cm="1">
        <f t="array" ref="M30">SUMPRODUCT((INT(Table1[Waktu Keluar])=L30)*Table1[Durasi
(Jam)])</f>
        <v>4</v>
      </c>
      <c r="N30" s="10" cm="1">
        <f t="array" ref="N30">SUMPRODUCT((INT(Table1[Waktu Keluar])=L30)*Table1[Total])</f>
        <v>12000</v>
      </c>
    </row>
    <row r="31" spans="2:14" x14ac:dyDescent="0.35">
      <c r="B31" s="4">
        <v>28</v>
      </c>
      <c r="C31" s="1" t="s">
        <v>12</v>
      </c>
      <c r="D31" s="3">
        <v>46067.328472222223</v>
      </c>
      <c r="E31" s="3">
        <v>46067.40347222222</v>
      </c>
      <c r="F31" s="12">
        <f>HOUR(Table1[[#This Row],[Waktu Keluar]]-Table1[[#This Row],[Waktu Masuk]])</f>
        <v>1</v>
      </c>
      <c r="G31" s="1" t="s">
        <v>14</v>
      </c>
      <c r="H31" s="10" cm="1">
        <f t="array" ref="H31">_xlfn.IFS(Table1[[#This Row],[Jenis]]="Motor", 2000, Table1[[#This Row],[Jenis]]="Mobil",3000)</f>
        <v>2000</v>
      </c>
      <c r="I31" s="14">
        <f>Table1[[#This Row],[Durasi
(Jam)]]*Table1[[#This Row],[Tarif]]</f>
        <v>2000</v>
      </c>
      <c r="K31" s="25"/>
      <c r="L31" s="25"/>
      <c r="M31" s="22"/>
      <c r="N31" s="23"/>
    </row>
    <row r="32" spans="2:14" x14ac:dyDescent="0.35">
      <c r="B32" s="4">
        <v>29</v>
      </c>
      <c r="C32" s="1" t="s">
        <v>10</v>
      </c>
      <c r="D32" s="3">
        <v>46067.476388888892</v>
      </c>
      <c r="E32" s="3">
        <v>46067.706250000003</v>
      </c>
      <c r="F32" s="12">
        <f>HOUR(Table1[[#This Row],[Waktu Keluar]]-Table1[[#This Row],[Waktu Masuk]])</f>
        <v>5</v>
      </c>
      <c r="G32" s="1" t="s">
        <v>14</v>
      </c>
      <c r="H32" s="10" cm="1">
        <f t="array" ref="H32">_xlfn.IFS(Table1[[#This Row],[Jenis]]="Motor", 2000, Table1[[#This Row],[Jenis]]="Mobil",3000)</f>
        <v>2000</v>
      </c>
      <c r="I32" s="14">
        <f>Table1[[#This Row],[Durasi
(Jam)]]*Table1[[#This Row],[Tarif]]</f>
        <v>10000</v>
      </c>
    </row>
    <row r="33" spans="2:9" x14ac:dyDescent="0.35">
      <c r="B33" s="4">
        <v>30</v>
      </c>
      <c r="C33" s="1" t="s">
        <v>11</v>
      </c>
      <c r="D33" s="3">
        <v>46068.380555555559</v>
      </c>
      <c r="E33" s="3">
        <v>46068.515972222223</v>
      </c>
      <c r="F33" s="12">
        <f>HOUR(Table1[[#This Row],[Waktu Keluar]]-Table1[[#This Row],[Waktu Masuk]])</f>
        <v>3</v>
      </c>
      <c r="G33" s="1" t="s">
        <v>14</v>
      </c>
      <c r="H33" s="10" cm="1">
        <f t="array" ref="H33">_xlfn.IFS(Table1[[#This Row],[Jenis]]="Motor", 2000, Table1[[#This Row],[Jenis]]="Mobil",3000)</f>
        <v>2000</v>
      </c>
      <c r="I33" s="14">
        <f>Table1[[#This Row],[Durasi
(Jam)]]*Table1[[#This Row],[Tarif]]</f>
        <v>6000</v>
      </c>
    </row>
    <row r="34" spans="2:9" x14ac:dyDescent="0.35">
      <c r="B34" s="4">
        <v>31</v>
      </c>
      <c r="C34" s="1" t="s">
        <v>12</v>
      </c>
      <c r="D34" s="3">
        <v>46068.582638888889</v>
      </c>
      <c r="E34" s="3">
        <v>46068.781944444447</v>
      </c>
      <c r="F34" s="12">
        <f>HOUR(Table1[[#This Row],[Waktu Keluar]]-Table1[[#This Row],[Waktu Masuk]])</f>
        <v>4</v>
      </c>
      <c r="G34" s="1" t="s">
        <v>14</v>
      </c>
      <c r="H34" s="10" cm="1">
        <f t="array" ref="H34">_xlfn.IFS(Table1[[#This Row],[Jenis]]="Motor", 2000, Table1[[#This Row],[Jenis]]="Mobil",3000)</f>
        <v>2000</v>
      </c>
      <c r="I34" s="14">
        <f>Table1[[#This Row],[Durasi
(Jam)]]*Table1[[#This Row],[Tarif]]</f>
        <v>8000</v>
      </c>
    </row>
    <row r="35" spans="2:9" x14ac:dyDescent="0.35">
      <c r="B35" s="4">
        <v>32</v>
      </c>
      <c r="C35" s="1" t="s">
        <v>11</v>
      </c>
      <c r="D35" s="3">
        <v>46069.362500000003</v>
      </c>
      <c r="E35" s="3">
        <v>46069.457638888889</v>
      </c>
      <c r="F35" s="12">
        <f>HOUR(Table1[[#This Row],[Waktu Keluar]]-Table1[[#This Row],[Waktu Masuk]])</f>
        <v>2</v>
      </c>
      <c r="G35" s="1" t="s">
        <v>15</v>
      </c>
      <c r="H35" s="10" cm="1">
        <f t="array" ref="H35">_xlfn.IFS(Table1[[#This Row],[Jenis]]="Motor", 2000, Table1[[#This Row],[Jenis]]="Mobil",3000)</f>
        <v>3000</v>
      </c>
      <c r="I35" s="14">
        <f>Table1[[#This Row],[Durasi
(Jam)]]*Table1[[#This Row],[Tarif]]</f>
        <v>6000</v>
      </c>
    </row>
    <row r="36" spans="2:9" x14ac:dyDescent="0.35">
      <c r="B36" s="4">
        <v>33</v>
      </c>
      <c r="C36" s="1" t="s">
        <v>12</v>
      </c>
      <c r="D36" s="3">
        <v>46069.631944444445</v>
      </c>
      <c r="E36" s="3">
        <v>46069.938194444447</v>
      </c>
      <c r="F36" s="12">
        <f>HOUR(Table1[[#This Row],[Waktu Keluar]]-Table1[[#This Row],[Waktu Masuk]])</f>
        <v>7</v>
      </c>
      <c r="G36" s="1" t="s">
        <v>15</v>
      </c>
      <c r="H36" s="10" cm="1">
        <f t="array" ref="H36">_xlfn.IFS(Table1[[#This Row],[Jenis]]="Motor", 2000, Table1[[#This Row],[Jenis]]="Mobil",3000)</f>
        <v>3000</v>
      </c>
      <c r="I36" s="14">
        <f>Table1[[#This Row],[Durasi
(Jam)]]*Table1[[#This Row],[Tarif]]</f>
        <v>21000</v>
      </c>
    </row>
    <row r="37" spans="2:9" x14ac:dyDescent="0.35">
      <c r="B37" s="4">
        <v>34</v>
      </c>
      <c r="C37" s="1" t="s">
        <v>10</v>
      </c>
      <c r="D37" s="3">
        <v>46070.313194444447</v>
      </c>
      <c r="E37" s="3">
        <v>46070.371527777781</v>
      </c>
      <c r="F37" s="12">
        <f>HOUR(Table1[[#This Row],[Waktu Keluar]]-Table1[[#This Row],[Waktu Masuk]])</f>
        <v>1</v>
      </c>
      <c r="G37" s="1" t="s">
        <v>14</v>
      </c>
      <c r="H37" s="10" cm="1">
        <f t="array" ref="H37">_xlfn.IFS(Table1[[#This Row],[Jenis]]="Motor", 2000, Table1[[#This Row],[Jenis]]="Mobil",3000)</f>
        <v>2000</v>
      </c>
      <c r="I37" s="14">
        <f>Table1[[#This Row],[Durasi
(Jam)]]*Table1[[#This Row],[Tarif]]</f>
        <v>2000</v>
      </c>
    </row>
    <row r="38" spans="2:9" x14ac:dyDescent="0.35">
      <c r="B38" s="4">
        <v>35</v>
      </c>
      <c r="C38" s="1" t="s">
        <v>12</v>
      </c>
      <c r="D38" s="3">
        <v>46070.533333333333</v>
      </c>
      <c r="E38" s="3">
        <v>46070.808333333334</v>
      </c>
      <c r="F38" s="12">
        <f>HOUR(Table1[[#This Row],[Waktu Keluar]]-Table1[[#This Row],[Waktu Masuk]])</f>
        <v>6</v>
      </c>
      <c r="G38" s="1" t="s">
        <v>14</v>
      </c>
      <c r="H38" s="10" cm="1">
        <f t="array" ref="H38">_xlfn.IFS(Table1[[#This Row],[Jenis]]="Motor", 2000, Table1[[#This Row],[Jenis]]="Mobil",3000)</f>
        <v>2000</v>
      </c>
      <c r="I38" s="14">
        <f>Table1[[#This Row],[Durasi
(Jam)]]*Table1[[#This Row],[Tarif]]</f>
        <v>12000</v>
      </c>
    </row>
    <row r="39" spans="2:9" x14ac:dyDescent="0.35">
      <c r="B39" s="4">
        <v>36</v>
      </c>
      <c r="C39" s="1" t="s">
        <v>11</v>
      </c>
      <c r="D39" s="3">
        <v>46071.442361111112</v>
      </c>
      <c r="E39" s="3">
        <v>46071.547222222223</v>
      </c>
      <c r="F39" s="12">
        <f>HOUR(Table1[[#This Row],[Waktu Keluar]]-Table1[[#This Row],[Waktu Masuk]])</f>
        <v>2</v>
      </c>
      <c r="G39" s="1" t="s">
        <v>14</v>
      </c>
      <c r="H39" s="10" cm="1">
        <f t="array" ref="H39">_xlfn.IFS(Table1[[#This Row],[Jenis]]="Motor", 2000, Table1[[#This Row],[Jenis]]="Mobil",3000)</f>
        <v>2000</v>
      </c>
      <c r="I39" s="14">
        <f>Table1[[#This Row],[Durasi
(Jam)]]*Table1[[#This Row],[Tarif]]</f>
        <v>4000</v>
      </c>
    </row>
    <row r="40" spans="2:9" x14ac:dyDescent="0.35">
      <c r="B40" s="4">
        <v>37</v>
      </c>
      <c r="C40" s="1" t="s">
        <v>12</v>
      </c>
      <c r="D40" s="3">
        <v>46071.681944444441</v>
      </c>
      <c r="E40" s="3">
        <v>46071.902083333334</v>
      </c>
      <c r="F40" s="12">
        <f>HOUR(Table1[[#This Row],[Waktu Keluar]]-Table1[[#This Row],[Waktu Masuk]])</f>
        <v>5</v>
      </c>
      <c r="G40" s="1" t="s">
        <v>14</v>
      </c>
      <c r="H40" s="10" cm="1">
        <f t="array" ref="H40">_xlfn.IFS(Table1[[#This Row],[Jenis]]="Motor", 2000, Table1[[#This Row],[Jenis]]="Mobil",3000)</f>
        <v>2000</v>
      </c>
      <c r="I40" s="14">
        <f>Table1[[#This Row],[Durasi
(Jam)]]*Table1[[#This Row],[Tarif]]</f>
        <v>10000</v>
      </c>
    </row>
    <row r="41" spans="2:9" x14ac:dyDescent="0.35">
      <c r="B41" s="4">
        <v>38</v>
      </c>
      <c r="C41" s="1" t="s">
        <v>10</v>
      </c>
      <c r="D41" s="3">
        <v>46072.290277777778</v>
      </c>
      <c r="E41" s="3">
        <v>46072.386111111111</v>
      </c>
      <c r="F41" s="12">
        <f>HOUR(Table1[[#This Row],[Waktu Keluar]]-Table1[[#This Row],[Waktu Masuk]])</f>
        <v>2</v>
      </c>
      <c r="G41" s="1" t="s">
        <v>15</v>
      </c>
      <c r="H41" s="10" cm="1">
        <f t="array" ref="H41">_xlfn.IFS(Table1[[#This Row],[Jenis]]="Motor", 2000, Table1[[#This Row],[Jenis]]="Mobil",3000)</f>
        <v>3000</v>
      </c>
      <c r="I41" s="14">
        <f>Table1[[#This Row],[Durasi
(Jam)]]*Table1[[#This Row],[Tarif]]</f>
        <v>6000</v>
      </c>
    </row>
    <row r="42" spans="2:9" x14ac:dyDescent="0.35">
      <c r="B42" s="4">
        <v>39</v>
      </c>
      <c r="C42" s="1" t="s">
        <v>11</v>
      </c>
      <c r="D42" s="3">
        <v>46072.592361111114</v>
      </c>
      <c r="E42" s="3">
        <v>46072.786111111112</v>
      </c>
      <c r="F42" s="12">
        <f>HOUR(Table1[[#This Row],[Waktu Keluar]]-Table1[[#This Row],[Waktu Masuk]])</f>
        <v>4</v>
      </c>
      <c r="G42" s="1" t="s">
        <v>15</v>
      </c>
      <c r="H42" s="10" cm="1">
        <f t="array" ref="H42">_xlfn.IFS(Table1[[#This Row],[Jenis]]="Motor", 2000, Table1[[#This Row],[Jenis]]="Mobil",3000)</f>
        <v>3000</v>
      </c>
      <c r="I42" s="14">
        <f>Table1[[#This Row],[Durasi
(Jam)]]*Table1[[#This Row],[Tarif]]</f>
        <v>12000</v>
      </c>
    </row>
    <row r="43" spans="2:9" x14ac:dyDescent="0.35">
      <c r="B43" s="4">
        <v>40</v>
      </c>
      <c r="C43" s="1" t="s">
        <v>12</v>
      </c>
      <c r="D43" s="3">
        <v>46073.392361111109</v>
      </c>
      <c r="E43" s="3">
        <v>46073.484027777777</v>
      </c>
      <c r="F43" s="12">
        <f>HOUR(Table1[[#This Row],[Waktu Keluar]]-Table1[[#This Row],[Waktu Masuk]])</f>
        <v>2</v>
      </c>
      <c r="G43" s="1" t="s">
        <v>14</v>
      </c>
      <c r="H43" s="10" cm="1">
        <f t="array" ref="H43">_xlfn.IFS(Table1[[#This Row],[Jenis]]="Motor", 2000, Table1[[#This Row],[Jenis]]="Mobil",3000)</f>
        <v>2000</v>
      </c>
      <c r="I43" s="14">
        <f>Table1[[#This Row],[Durasi
(Jam)]]*Table1[[#This Row],[Tarif]]</f>
        <v>4000</v>
      </c>
    </row>
    <row r="44" spans="2:9" x14ac:dyDescent="0.35">
      <c r="B44" s="4">
        <v>41</v>
      </c>
      <c r="C44" s="1" t="s">
        <v>8</v>
      </c>
      <c r="D44" s="3">
        <v>46073.657638888886</v>
      </c>
      <c r="E44" s="3">
        <v>46073.959027777775</v>
      </c>
      <c r="F44" s="12">
        <f>HOUR(Table1[[#This Row],[Waktu Keluar]]-Table1[[#This Row],[Waktu Masuk]])</f>
        <v>7</v>
      </c>
      <c r="G44" s="1" t="s">
        <v>15</v>
      </c>
      <c r="H44" s="10" cm="1">
        <f t="array" ref="H44">_xlfn.IFS(Table1[[#This Row],[Jenis]]="Motor", 2000, Table1[[#This Row],[Jenis]]="Mobil",3000)</f>
        <v>3000</v>
      </c>
      <c r="I44" s="14">
        <f>Table1[[#This Row],[Durasi
(Jam)]]*Table1[[#This Row],[Tarif]]</f>
        <v>21000</v>
      </c>
    </row>
    <row r="45" spans="2:9" x14ac:dyDescent="0.35">
      <c r="B45" s="4">
        <v>42</v>
      </c>
      <c r="C45" s="1" t="s">
        <v>8</v>
      </c>
      <c r="D45" s="3">
        <v>46074.344444444447</v>
      </c>
      <c r="E45" s="3">
        <v>46074.436111111114</v>
      </c>
      <c r="F45" s="12">
        <f>HOUR(Table1[[#This Row],[Waktu Keluar]]-Table1[[#This Row],[Waktu Masuk]])</f>
        <v>2</v>
      </c>
      <c r="G45" s="1" t="s">
        <v>15</v>
      </c>
      <c r="H45" s="10" cm="1">
        <f t="array" ref="H45">_xlfn.IFS(Table1[[#This Row],[Jenis]]="Motor", 2000, Table1[[#This Row],[Jenis]]="Mobil",3000)</f>
        <v>3000</v>
      </c>
      <c r="I45" s="14">
        <f>Table1[[#This Row],[Durasi
(Jam)]]*Table1[[#This Row],[Tarif]]</f>
        <v>6000</v>
      </c>
    </row>
    <row r="46" spans="2:9" x14ac:dyDescent="0.35">
      <c r="B46" s="4">
        <v>43</v>
      </c>
      <c r="C46" s="1" t="s">
        <v>8</v>
      </c>
      <c r="D46" s="3">
        <v>46074.56527777778</v>
      </c>
      <c r="E46" s="3">
        <v>46074.739583333336</v>
      </c>
      <c r="F46" s="12">
        <f>HOUR(Table1[[#This Row],[Waktu Keluar]]-Table1[[#This Row],[Waktu Masuk]])</f>
        <v>4</v>
      </c>
      <c r="G46" s="1" t="s">
        <v>14</v>
      </c>
      <c r="H46" s="10" cm="1">
        <f t="array" ref="H46">_xlfn.IFS(Table1[[#This Row],[Jenis]]="Motor", 2000, Table1[[#This Row],[Jenis]]="Mobil",3000)</f>
        <v>2000</v>
      </c>
      <c r="I46" s="14">
        <f>Table1[[#This Row],[Durasi
(Jam)]]*Table1[[#This Row],[Tarif]]</f>
        <v>8000</v>
      </c>
    </row>
    <row r="47" spans="2:9" x14ac:dyDescent="0.35">
      <c r="B47" s="4">
        <v>44</v>
      </c>
      <c r="C47" s="1" t="s">
        <v>8</v>
      </c>
      <c r="D47" s="3">
        <v>46075.418055555558</v>
      </c>
      <c r="E47" s="3">
        <v>46075.554861111108</v>
      </c>
      <c r="F47" s="12">
        <f>HOUR(Table1[[#This Row],[Waktu Keluar]]-Table1[[#This Row],[Waktu Masuk]])</f>
        <v>3</v>
      </c>
      <c r="G47" s="1" t="s">
        <v>14</v>
      </c>
      <c r="H47" s="10" cm="1">
        <f t="array" ref="H47">_xlfn.IFS(Table1[[#This Row],[Jenis]]="Motor", 2000, Table1[[#This Row],[Jenis]]="Mobil",3000)</f>
        <v>2000</v>
      </c>
      <c r="I47" s="14">
        <f>Table1[[#This Row],[Durasi
(Jam)]]*Table1[[#This Row],[Tarif]]</f>
        <v>6000</v>
      </c>
    </row>
    <row r="48" spans="2:9" x14ac:dyDescent="0.35">
      <c r="B48" s="4">
        <v>45</v>
      </c>
      <c r="C48" s="1" t="s">
        <v>9</v>
      </c>
      <c r="D48" s="3">
        <v>46075.72152777778</v>
      </c>
      <c r="E48" s="3">
        <v>46075.956944444442</v>
      </c>
      <c r="F48" s="12">
        <f>HOUR(Table1[[#This Row],[Waktu Keluar]]-Table1[[#This Row],[Waktu Masuk]])</f>
        <v>5</v>
      </c>
      <c r="G48" s="1" t="s">
        <v>14</v>
      </c>
      <c r="H48" s="10" cm="1">
        <f t="array" ref="H48">_xlfn.IFS(Table1[[#This Row],[Jenis]]="Motor", 2000, Table1[[#This Row],[Jenis]]="Mobil",3000)</f>
        <v>2000</v>
      </c>
      <c r="I48" s="14">
        <f>Table1[[#This Row],[Durasi
(Jam)]]*Table1[[#This Row],[Tarif]]</f>
        <v>10000</v>
      </c>
    </row>
    <row r="49" spans="2:9" x14ac:dyDescent="0.35">
      <c r="B49" s="4">
        <v>46</v>
      </c>
      <c r="C49" s="1" t="s">
        <v>11</v>
      </c>
      <c r="D49" s="3">
        <v>46076.322222222225</v>
      </c>
      <c r="E49" s="3">
        <v>46076.424305555556</v>
      </c>
      <c r="F49" s="12">
        <f>HOUR(Table1[[#This Row],[Waktu Keluar]]-Table1[[#This Row],[Waktu Masuk]])</f>
        <v>2</v>
      </c>
      <c r="G49" s="1" t="s">
        <v>14</v>
      </c>
      <c r="H49" s="10" cm="1">
        <f t="array" ref="H49">_xlfn.IFS(Table1[[#This Row],[Jenis]]="Motor", 2000, Table1[[#This Row],[Jenis]]="Mobil",3000)</f>
        <v>2000</v>
      </c>
      <c r="I49" s="14">
        <f>Table1[[#This Row],[Durasi
(Jam)]]*Table1[[#This Row],[Tarif]]</f>
        <v>4000</v>
      </c>
    </row>
    <row r="50" spans="2:9" x14ac:dyDescent="0.35">
      <c r="B50" s="4">
        <v>47</v>
      </c>
      <c r="C50" s="1" t="s">
        <v>12</v>
      </c>
      <c r="D50" s="3">
        <v>46077.414583333331</v>
      </c>
      <c r="E50" s="3">
        <v>46077.566666666666</v>
      </c>
      <c r="F50" s="12">
        <f>HOUR(Table1[[#This Row],[Waktu Keluar]]-Table1[[#This Row],[Waktu Masuk]])</f>
        <v>3</v>
      </c>
      <c r="G50" s="1" t="s">
        <v>15</v>
      </c>
      <c r="H50" s="10" cm="1">
        <f t="array" ref="H50">_xlfn.IFS(Table1[[#This Row],[Jenis]]="Motor", 2000, Table1[[#This Row],[Jenis]]="Mobil",3000)</f>
        <v>3000</v>
      </c>
      <c r="I50" s="14">
        <f>Table1[[#This Row],[Durasi
(Jam)]]*Table1[[#This Row],[Tarif]]</f>
        <v>9000</v>
      </c>
    </row>
    <row r="51" spans="2:9" x14ac:dyDescent="0.35">
      <c r="B51" s="4">
        <v>48</v>
      </c>
      <c r="C51" s="1" t="s">
        <v>11</v>
      </c>
      <c r="D51" s="3">
        <v>46078.466666666667</v>
      </c>
      <c r="E51" s="3">
        <v>46078.644444444442</v>
      </c>
      <c r="F51" s="12">
        <f>HOUR(Table1[[#This Row],[Waktu Keluar]]-Table1[[#This Row],[Waktu Masuk]])</f>
        <v>4</v>
      </c>
      <c r="G51" s="1" t="s">
        <v>14</v>
      </c>
      <c r="H51" s="10" cm="1">
        <f t="array" ref="H51">_xlfn.IFS(Table1[[#This Row],[Jenis]]="Motor", 2000, Table1[[#This Row],[Jenis]]="Mobil",3000)</f>
        <v>2000</v>
      </c>
      <c r="I51" s="14">
        <f>Table1[[#This Row],[Durasi
(Jam)]]*Table1[[#This Row],[Tarif]]</f>
        <v>8000</v>
      </c>
    </row>
    <row r="52" spans="2:9" x14ac:dyDescent="0.35">
      <c r="B52" s="4">
        <v>49</v>
      </c>
      <c r="C52" s="1" t="s">
        <v>12</v>
      </c>
      <c r="D52" s="3">
        <v>46079.602777777778</v>
      </c>
      <c r="E52" s="3">
        <v>46079.759722222225</v>
      </c>
      <c r="F52" s="12">
        <f>HOUR(Table1[[#This Row],[Waktu Keluar]]-Table1[[#This Row],[Waktu Masuk]])</f>
        <v>3</v>
      </c>
      <c r="G52" s="1" t="s">
        <v>14</v>
      </c>
      <c r="H52" s="10" cm="1">
        <f t="array" ref="H52">_xlfn.IFS(Table1[[#This Row],[Jenis]]="Motor", 2000, Table1[[#This Row],[Jenis]]="Mobil",3000)</f>
        <v>2000</v>
      </c>
      <c r="I52" s="14">
        <f>Table1[[#This Row],[Durasi
(Jam)]]*Table1[[#This Row],[Tarif]]</f>
        <v>6000</v>
      </c>
    </row>
    <row r="53" spans="2:9" x14ac:dyDescent="0.35">
      <c r="B53" s="5">
        <v>50</v>
      </c>
      <c r="C53" s="6" t="s">
        <v>8</v>
      </c>
      <c r="D53" s="7">
        <v>46080.668749999997</v>
      </c>
      <c r="E53" s="7">
        <v>46080.867361111108</v>
      </c>
      <c r="F53" s="13">
        <f>HOUR(Table1[[#This Row],[Waktu Keluar]]-Table1[[#This Row],[Waktu Masuk]])</f>
        <v>4</v>
      </c>
      <c r="G53" s="1" t="s">
        <v>15</v>
      </c>
      <c r="H53" s="11" cm="1">
        <f t="array" ref="H53">_xlfn.IFS(Table1[[#This Row],[Jenis]]="Motor", 2000, Table1[[#This Row],[Jenis]]="Mobil",3000)</f>
        <v>3000</v>
      </c>
      <c r="I53" s="15">
        <f>Table1[[#This Row],[Durasi
(Jam)]]*Table1[[#This Row],[Tarif]]</f>
        <v>12000</v>
      </c>
    </row>
  </sheetData>
  <mergeCells count="6">
    <mergeCell ref="K31:L31"/>
    <mergeCell ref="P2:S2"/>
    <mergeCell ref="P9:Q9"/>
    <mergeCell ref="U2:X2"/>
    <mergeCell ref="B2:I2"/>
    <mergeCell ref="K2:N2"/>
  </mergeCells>
  <printOptions horizontalCentered="1"/>
  <pageMargins left="0.70866141732283472" right="0.70866141732283472" top="0.74803149606299213" bottom="0.74803149606299213" header="0.31496062992125984" footer="0.31496062992125984"/>
  <pageSetup fitToHeight="0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7E72A-6669-4BC6-BE7F-DA82A4F82E30}">
  <sheetPr>
    <pageSetUpPr fitToPage="1"/>
  </sheetPr>
  <dimension ref="A1"/>
  <sheetViews>
    <sheetView tabSelected="1" zoomScaleNormal="100" workbookViewId="0">
      <selection activeCell="Q39" sqref="A1:Q39"/>
    </sheetView>
  </sheetViews>
  <sheetFormatPr defaultRowHeight="14.5" x14ac:dyDescent="0.35"/>
  <cols>
    <col min="9" max="9" width="7.6328125" customWidth="1"/>
    <col min="16" max="16" width="8.7265625" customWidth="1"/>
    <col min="17" max="17" width="4.6328125" customWidth="1"/>
  </cols>
  <sheetData/>
  <printOptions horizontalCentered="1"/>
  <pageMargins left="0.70866141732283472" right="0.70866141732283472" top="0.74803149606299213" bottom="0.74803149606299213" header="0.31496062992125984" footer="0.31496062992125984"/>
  <pageSetup scale="5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Hisan Putra</dc:creator>
  <cp:lastModifiedBy>Hisan Putra</cp:lastModifiedBy>
  <cp:lastPrinted>2026-05-18T13:43:59Z</cp:lastPrinted>
  <dcterms:created xsi:type="dcterms:W3CDTF">2026-05-07T08:59:30Z</dcterms:created>
  <dcterms:modified xsi:type="dcterms:W3CDTF">2026-05-18T13:44:04Z</dcterms:modified>
</cp:coreProperties>
</file>